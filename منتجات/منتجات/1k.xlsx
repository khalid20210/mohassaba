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بيانات مستخرجة\بيانات السوبر ماركت السعودي -  23,573 منتج\"/>
    </mc:Choice>
  </mc:AlternateContent>
  <xr:revisionPtr revIDLastSave="0" documentId="13_ncr:1_{0E1BBC80-B5B1-46CC-A89B-8044EF4289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definedNames>
    <definedName name="_xlnm._FilterDatabase" localSheetId="0" hidden="1">ورقة1!$A$1:$M$1001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1" i="1" l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<sst xmlns="http://schemas.openxmlformats.org/spreadsheetml/2006/main" count="9537" uniqueCount="3250">
  <si>
    <t>باركود</t>
  </si>
  <si>
    <t>اسم المنتج (عربي)</t>
  </si>
  <si>
    <t>اسم المنتج (انجليزي)</t>
  </si>
  <si>
    <t>التصنيف الرئيسي (عربي)</t>
  </si>
  <si>
    <t>التصنيف الرئيسي (انجليزي)</t>
  </si>
  <si>
    <t>التصنيف الفرعي (عربي)</t>
  </si>
  <si>
    <t>التصنيف الفرعي (انجليزي)</t>
  </si>
  <si>
    <t>الماركة المصنعة</t>
  </si>
  <si>
    <t>بلد المنشأ</t>
  </si>
  <si>
    <t>الحجم</t>
  </si>
  <si>
    <t>شكل المنتج</t>
  </si>
  <si>
    <t>السعر</t>
  </si>
  <si>
    <t>رابط صورة المنتج</t>
  </si>
  <si>
    <t>الطيب جبنة بيضاء قليلة الملح</t>
  </si>
  <si>
    <t>Altayeb White Cheese Low Salt</t>
  </si>
  <si>
    <t>أطعمة طازجة</t>
  </si>
  <si>
    <t>Fresh Food</t>
  </si>
  <si>
    <t>منتجات الألبان والبيض</t>
  </si>
  <si>
    <t>Dairy &amp; Eggs</t>
  </si>
  <si>
    <t>Kilo</t>
  </si>
  <si>
    <t>https://cdn.mafrservices.com/sys-master-root/hbd/h45/9168806608926/77638_main.jpg?im=Resize=1700</t>
  </si>
  <si>
    <t>دانيت شوكولاتة باللبن 75 جرام × 7 + 1 مجاناً</t>
  </si>
  <si>
    <t>Danette Chocolate Pudding 75g &amp;times; 7 + 1 Free</t>
  </si>
  <si>
    <t>pieces</t>
  </si>
  <si>
    <t>https://cdn.mafrservices.com/sys-master-root/h60/h23/11218178113566/550809_main.jpg?im=Resize=1700</t>
  </si>
  <si>
    <t>بوك جبنه حلوم 200 غرام</t>
  </si>
  <si>
    <t>Puck Halloumi Full Fat Cheese 200g</t>
  </si>
  <si>
    <t>Puck</t>
  </si>
  <si>
    <t>200g</t>
  </si>
  <si>
    <t>https://cdn.mafrservices.com/sys-master-root/hda/h7a/63885745258526/501543_main.jpg?im=Resize=1700</t>
  </si>
  <si>
    <t>المراعي كريمة خفق  1 لتر</t>
  </si>
  <si>
    <t>Almarai Whipping Cream 1L</t>
  </si>
  <si>
    <t>Almarai</t>
  </si>
  <si>
    <t>Saudi Arabia</t>
  </si>
  <si>
    <t>https://cdn.mafrservices.com/sys-master-root/he0/he2/50520424087582/528577_main.jpg?im=Resize=1700</t>
  </si>
  <si>
    <t>المراعي جبنة حلومي كاملة الدسم 200جرام</t>
  </si>
  <si>
    <t>Almarai Halloumi Cheese Full Fat 200g</t>
  </si>
  <si>
    <t>Lusine</t>
  </si>
  <si>
    <t>https://cdn.mafrservices.com/sys-master-root/hf2/h96/51433167093790/720734_main.jpg?im=Resize=1700</t>
  </si>
  <si>
    <t>المراعي جبن فيتا قليل الدسم وقليل الملح 200جرام</t>
  </si>
  <si>
    <t>Almarai Low Fat and less Salt lite Feta Cheese 200g</t>
  </si>
  <si>
    <t>https://cdn.mafrservices.com/sys-master-root/h95/h5e/14549638545438/528580_main.png?im=Resize=1700</t>
  </si>
  <si>
    <t>نادك حليب طويل الأجل كامل الدسم 200 مل× 18</t>
  </si>
  <si>
    <t>Nadec Full Fat Long Life Milk 200ml&amp;times; 18</t>
  </si>
  <si>
    <t>Nadec</t>
  </si>
  <si>
    <t>https://cdn.mafrservices.com/pim-content/SAU/media/product/53204/1739179803/53204_main.jpg?im=Resize=1700</t>
  </si>
  <si>
    <t>صحة بيض ابيض وسط ×15 بيضة</t>
  </si>
  <si>
    <t>Saha White Eggs Medium x15 Eggs</t>
  </si>
  <si>
    <t>Saha</t>
  </si>
  <si>
    <t>https://cdn.mafrservices.com/sys-master-root/h3a/h2f/52030837227550/624491_main.jpg?im=Resize=1700</t>
  </si>
  <si>
    <t>المراعي حليب نجوم بنكهة الشوكلاته طويل الأجل 150 مل × 18</t>
  </si>
  <si>
    <t>Almarai Long Life Nijoom Chocolate Flavored Milk 150ml &amp;times; 18 Pieces</t>
  </si>
  <si>
    <t>https://cdn.mafrservices.com/sys-master-root/h84/h9f/10674678136862/568320_main.jpg?im=Resize=1700</t>
  </si>
  <si>
    <t>القريه بيض أبيض مميز – 30 حبة</t>
  </si>
  <si>
    <t>Qaryah White Eggs Special &amp;ndash; 30 Pieces</t>
  </si>
  <si>
    <t>30 Pieces</t>
  </si>
  <si>
    <t>https://cdn.mafrservices.com/pim-content/SAU/media/product/752711/1753090603/752711_main.jpg?im=Resize=1700</t>
  </si>
  <si>
    <t>آكتيفيا مشروب كفير 180 مل</t>
  </si>
  <si>
    <t>Activia Kefir Drink 180ml</t>
  </si>
  <si>
    <t>ACTIVIA</t>
  </si>
  <si>
    <t>180ml</t>
  </si>
  <si>
    <t>https://cdn.mafrservices.com/pim-content/SAU/media/product/746005/1741244403/746005_main.jpg?im=Resize=1700</t>
  </si>
  <si>
    <t>نادك كريمة خفق 1 لتر</t>
  </si>
  <si>
    <t>Nadec Whipping Cream 1L</t>
  </si>
  <si>
    <t>https://cdn.mafrservices.com/sys-master-root/h7e/hf1/49997907197982/591234_main.jpg?im=Resize=1700</t>
  </si>
  <si>
    <t>ندى زبادي يوناني 160 جرام</t>
  </si>
  <si>
    <t>Nada greek Yoghurt Plain 160g</t>
  </si>
  <si>
    <t>Nada</t>
  </si>
  <si>
    <t>160g</t>
  </si>
  <si>
    <t>https://cdn.mafrservices.com/sys-master-root/h47/hae/63422309302302/582798_main.jpg?im=Resize=1700</t>
  </si>
  <si>
    <t>المراعي قشطة طازجة 100 جرام</t>
  </si>
  <si>
    <t>Almarai Breakfast Lite Cream 100g</t>
  </si>
  <si>
    <t>100g</t>
  </si>
  <si>
    <t>https://cdn.mafrservices.com/sys-master-root/h99/h45/50520418091038/305556_main.jpg?im=Resize=1700</t>
  </si>
  <si>
    <t>الصافي جبن  500جرام</t>
  </si>
  <si>
    <t>Alsafi Cream Cheese Jar 500g</t>
  </si>
  <si>
    <t>https://cdn.mafrservices.com/sys-master-root/h7f/hdb/14836890992670/655836_main.jpg?im=Resize=1700</t>
  </si>
  <si>
    <t>المراعي لبن طازج قليل الدسم 2 لتر</t>
  </si>
  <si>
    <t>Almarai Low Fat Fresh Laban 2L</t>
  </si>
  <si>
    <t>2L</t>
  </si>
  <si>
    <t>https://cdn.mafrservices.com/sys-master-root/h9b/h86/50520415338526/106463_main.jpg?im=Resize=1700</t>
  </si>
  <si>
    <t>داري لبنة تركية  700جرام</t>
  </si>
  <si>
    <t>Dari Turkish Labneh 700g</t>
  </si>
  <si>
    <t>Dari</t>
  </si>
  <si>
    <t>https://cdn.mafrservices.com/sys-master-root/h16/hf7/10371957587998/576901_main.jpg?im=Resize=1700</t>
  </si>
  <si>
    <t>كيري جبنة مربعات  بالقشطة قابلة للدهن ، 24 قطعة 2x عبوة، 48 قطعة 800 جرام</t>
  </si>
  <si>
    <t>Kiri Spreadable Cream Cheese Squares, 24 portions x 2 packs, 48 portions, 800g</t>
  </si>
  <si>
    <t>Kiri</t>
  </si>
  <si>
    <t>Poland</t>
  </si>
  <si>
    <t>https://cdn.mafrservices.com/sys-master-root/h47/h7f/51308361646110/537785_main.jpg?im=Resize=1700</t>
  </si>
  <si>
    <t>أكتيفيا زبادي كامل الدسم 150 جرام ×5 + 1 مجانا</t>
  </si>
  <si>
    <t>Activia Yogurt Full Fat 150g x5 + 1 Free</t>
  </si>
  <si>
    <t>150g x6</t>
  </si>
  <si>
    <t>https://cdn.mafrservices.com/sys-master-root/h9b/h19/63823208382494/638319_main.jpg?im=Resize=1700</t>
  </si>
  <si>
    <t>المراعي جبنة كريمية مطبوخة 900 جرام × 2 حبة</t>
  </si>
  <si>
    <t>Almarai Processed Cream Cheese 900g Pack of 2</t>
  </si>
  <si>
    <t>900gx2</t>
  </si>
  <si>
    <t>https://cdn.mafrservices.com/sys-master-root/hd1/h48/10810659471390/597489_main.jpg?im=Resize=1700</t>
  </si>
  <si>
    <t>كي دي دي شوكولاتة بالحليب طويلة الأمد 180 مل × 18 قطعة</t>
  </si>
  <si>
    <t>Kdd Milk Chocolate Long Life 180 mlx18Pieces</t>
  </si>
  <si>
    <t>Kdd</t>
  </si>
  <si>
    <t>https://cdn.mafrservices.com/sys-master-root/h15/h7c/9136929964062/104267_main.jpg?im=Resize=1700</t>
  </si>
  <si>
    <t>نادك زبادي طازج قليل الدسم 170 جرام × 6</t>
  </si>
  <si>
    <t>Nadec Fresh Yoghurt Low Cream 170g &amp;times; 6</t>
  </si>
  <si>
    <t>https://cdn.mafrservices.com/sys-master-root/hd9/h26/11897438109726/406301_main.jpg?im=Resize=1700</t>
  </si>
  <si>
    <t>بريزيدن شرائح جبنه شيدر للساندويش 400 غرام</t>
  </si>
  <si>
    <t>President Cheddar Sandwich Cheese Slices 400g</t>
  </si>
  <si>
    <t>President</t>
  </si>
  <si>
    <t>France</t>
  </si>
  <si>
    <t>400g</t>
  </si>
  <si>
    <t>https://cdn.mafrservices.com/sys-master-root/h00/ha0/10371958505502/338627_main.jpg?im=Resize=1700</t>
  </si>
  <si>
    <t>نادك شبيه زبدة غير مملحة 1كج</t>
  </si>
  <si>
    <t>Nadec Analogue Unsalted Butter 1kg</t>
  </si>
  <si>
    <t>1kg</t>
  </si>
  <si>
    <t>https://cdn.mafrservices.com/sys-master-root/h07/h68/46640677814302/138552_main.jpg?im=Resize=1700</t>
  </si>
  <si>
    <t>المراعي جبنه فيتا كاملة الدسم 200 غرام</t>
  </si>
  <si>
    <t>Almarai Full Cream Feta Cheese 200g</t>
  </si>
  <si>
    <t>https://cdn.mafrservices.com/sys-master-root/h3e/ha6/50520425431070/528579_main.jpg?im=Resize=1700</t>
  </si>
  <si>
    <t>المراعي زبدة  طبيعية غير مملحة 100جرام</t>
  </si>
  <si>
    <t>Almarai Natural Butter Unsalted 100g</t>
  </si>
  <si>
    <t>https://cdn.mafrservices.com/sys-master-root/h4e/h89/50520428019742/548653_main.jpg?im=Resize=1700</t>
  </si>
  <si>
    <t>نادك زبادي كامل الدسم 2 كجم</t>
  </si>
  <si>
    <t>Nadec Fresh Yogurt Full Cream 2kg</t>
  </si>
  <si>
    <t>https://cdn.mafrservices.com/sys-master-root/h9f/h34/52303970926622/53556_main.jpg?im=Resize=1700</t>
  </si>
  <si>
    <t>بريزيدن جبنه موزاريلا  وإيمنتال 450 غرام</t>
  </si>
  <si>
    <t>President Mozzarella And Emmental Cheese 450g</t>
  </si>
  <si>
    <t>450g</t>
  </si>
  <si>
    <t>https://cdn.mafrservices.com/sys-master-root/h9b/hff/10358462906398/338629_main.jpg?im=Resize=1700</t>
  </si>
  <si>
    <t>أكتيفيا مشروب كفير 280 مل</t>
  </si>
  <si>
    <t>Activia Kefir Drink 280ml</t>
  </si>
  <si>
    <t>280ml</t>
  </si>
  <si>
    <t>https://cdn.mafrservices.com/pim-content/SAU/media/product/745447/1737531006/745447_main.jpg?im=Resize=1700</t>
  </si>
  <si>
    <t>ندى شراب يوناني قليل الدسم 330 مل</t>
  </si>
  <si>
    <t>Nada Drinking greek Yoghurt Plain Low Fat 330ml</t>
  </si>
  <si>
    <t>30g</t>
  </si>
  <si>
    <t>https://cdn.mafrservices.com/sys-master-root/h87/hee/63422390534174/613268_main.jpg?im=Resize=1700</t>
  </si>
  <si>
    <t>ندى زبادي يوناني سادة قليل الدسم 160 جرام</t>
  </si>
  <si>
    <t>Nada greek Yoghurt Plain Low Fat 160g</t>
  </si>
  <si>
    <t>https://cdn.mafrservices.com/sys-master-root/hcb/hfb/63422374969374/602276_main.jpg?im=Resize=1700</t>
  </si>
  <si>
    <t>بريزيدن لبنة تركية 275 جرام</t>
  </si>
  <si>
    <t>President Turkish Labneh 275g</t>
  </si>
  <si>
    <t>Turkey</t>
  </si>
  <si>
    <t>275g</t>
  </si>
  <si>
    <t>https://cdn.mafrservices.com/sys-master-root/h07/hff/10371957850142/51789_main.jpg?im=Resize=1700</t>
  </si>
  <si>
    <t>السعودية حليب كامل الدسم طويل الأجل 125 مل × 24</t>
  </si>
  <si>
    <t>Saudia Long Life Full Fat Milk 125ml &amp;times; 24 Pieces</t>
  </si>
  <si>
    <t>Saudia</t>
  </si>
  <si>
    <t>https://cdn.mafrservices.com/sys-master-root/h0c/h0d/11006740725790/614807_main.jpg?im=Resize=1700</t>
  </si>
  <si>
    <t>جبن بارميزان إيطالي</t>
  </si>
  <si>
    <t>Gran Spicco Parmesan Flav? Italy</t>
  </si>
  <si>
    <t>https://cdn.mafrservices.com/sys-master-root/hb3/hba/14662029279262/655907_main.jpg?im=Resize=1700</t>
  </si>
  <si>
    <t>بوك لبنة 650جرام</t>
  </si>
  <si>
    <t>Puck Labneh Spread 650g</t>
  </si>
  <si>
    <t>Bahrain</t>
  </si>
  <si>
    <t>650g</t>
  </si>
  <si>
    <t>https://cdn.mafrservices.com/sys-master-root/h5f/h05/63885870039070/86142_main.jpg?im=Resize=1700</t>
  </si>
  <si>
    <t>المراعي زبادي الشام كامل الدسم 1 كج</t>
  </si>
  <si>
    <t>Almarai Full Fat Fresh Sour Yoghurt 1kg</t>
  </si>
  <si>
    <t>https://cdn.mafrservices.com/sys-master-root/hcb/h1f/50520430673950/564737_main.jpg?im=Resize=1700</t>
  </si>
  <si>
    <t>المراعي حليب كامل الدسم طويل الأجل 1 لتر ×10 + 2 مجانا</t>
  </si>
  <si>
    <t>Al Marai Long Life Milk Full Fat 1L x10 +2 Free</t>
  </si>
  <si>
    <t>1L x10 +2</t>
  </si>
  <si>
    <t>https://cdn.mafrservices.com/pim-content/SAU/media/product/629997/1740490203/629997_main.jpg?im=Resize=1700</t>
  </si>
  <si>
    <t>كارفور كومبوت تفاح 100 جرام × 4</t>
  </si>
  <si>
    <t>Carrefour Compote Apple Pear 100gx4</t>
  </si>
  <si>
    <t>Carrefour</t>
  </si>
  <si>
    <t>100gx4</t>
  </si>
  <si>
    <t>https://cdn.mafrservices.com/sys-master-root/h26/h61/51176124645406/372321_main.jpg?im=Resize=1700</t>
  </si>
  <si>
    <t>نادك زبادي كامل الدسم 170 جرام</t>
  </si>
  <si>
    <t>Nadec Fresh Yoghurt Full Cream 170g</t>
  </si>
  <si>
    <t>https://cdn.mafrservices.com/sys-master-root/h15/h32/9323310678046/406297_main.jpg?im=Resize=1700</t>
  </si>
  <si>
    <t>لورباك زبدة ناعمة غير مملحة 400جرام</t>
  </si>
  <si>
    <t>Lurpak Unsalted Soft Butter 400g</t>
  </si>
  <si>
    <t>Lurpak</t>
  </si>
  <si>
    <t>Denmark</t>
  </si>
  <si>
    <t>https://cdn.mafrservices.com/sys-master-root/h2e/h8b/63885758332958/639447_main.jpg?im=Resize=1700</t>
  </si>
  <si>
    <t>المراعي حليب كامل الدسم طويل الأجل 200مل × 18</t>
  </si>
  <si>
    <t>Almarai Milk Full Fat Long Life 200ml &amp;times; 18</t>
  </si>
  <si>
    <t>https://cdn.mafrservices.com/sys-master-root/h08/h2a/63106730623006/542662_main.jpg?im=Resize=1700</t>
  </si>
  <si>
    <t>شرائح جبنة الحلوم - سوريا</t>
  </si>
  <si>
    <t>Halloumi Cheese Slices Syria</t>
  </si>
  <si>
    <t>https://cdn.mafrservices.com/pim-content/SAU/media/product/739623/1725970203/739623_main.jpg?im=Resize=1700</t>
  </si>
  <si>
    <t>الصافي لبنة كريمية 700جرام</t>
  </si>
  <si>
    <t>Al Safi Creamy Labneh 700g</t>
  </si>
  <si>
    <t>Al safi</t>
  </si>
  <si>
    <t>700g</t>
  </si>
  <si>
    <t>https://cdn.mafrservices.com/sys-master-root/h27/h5b/48289509343262/689004_main.jpg?im=Resize=1700</t>
  </si>
  <si>
    <t>المراعي زبادي قليل الدسم 170 جرام</t>
  </si>
  <si>
    <t>Almarai Plain Low Fat Yogurt 170g</t>
  </si>
  <si>
    <t>170g</t>
  </si>
  <si>
    <t>https://cdn.mafrservices.com/sys-master-root/ha5/h9e/50520417566750/357350_main.jpg?im=Resize=1700</t>
  </si>
  <si>
    <t>المراعي جبنة مربعات  432 جرام × 24 قطعه</t>
  </si>
  <si>
    <t>Almarai Cream Cheese 432g &amp;times; 24 Portions</t>
  </si>
  <si>
    <t>https://cdn.mafrservices.com/sys-master-root/h16/h32/10640623632414/557881_main.jpg?im=Resize=1700</t>
  </si>
  <si>
    <t>المراعي جبنة فيتا  كاملة الدسم 200 جرام × 2</t>
  </si>
  <si>
    <t>Almarai Feta Cheese Full Cream 200g X 2</t>
  </si>
  <si>
    <t>https://cdn.mafrservices.com/sys-master-root/hc6/h55/9284801036318/587289_main.jpg?im=Resize=1700</t>
  </si>
  <si>
    <t>السعودية حليب طويل الأجل كامل الدسم  200 مل × 24 قطعة</t>
  </si>
  <si>
    <t>Saudia Long Life Full Fat Milk 200ml &amp;times; 24 Pieces</t>
  </si>
  <si>
    <t>https://cdn.mafrservices.com/sys-master-root/he7/hbe/49823126847518/370098_main.jpg?im=Resize=1700</t>
  </si>
  <si>
    <t>نادك شبيه جبنة قابلة للدهن 900جرام ×2</t>
  </si>
  <si>
    <t>Nadec Analogue Cream Cheese Spread 900g x2</t>
  </si>
  <si>
    <t>900g x2</t>
  </si>
  <si>
    <t>https://cdn.mafrservices.com/sys-master-root/h1e/h88/26533565464606/636030_main.jpg?im=Resize=1700</t>
  </si>
  <si>
    <t>كرافت جبنة قابلة للدهن 870جرام × 2</t>
  </si>
  <si>
    <t>Kraft Cream Cheese Spread 870g &amp;times; 2</t>
  </si>
  <si>
    <t>Kraft</t>
  </si>
  <si>
    <t>https://cdn.mafrservices.com/sys-master-root/hb2/h28/63885744930846/487150_main.jpg?im=Resize=1700</t>
  </si>
  <si>
    <t>كيري جبن قابل للدهن عبوة زجاجية 500 جرام</t>
  </si>
  <si>
    <t>Kiri Cheese, 500g Jar</t>
  </si>
  <si>
    <t>https://cdn.mafrservices.com/sys-master-root/h05/h24/48440189812766/699080_main.jpg?im=Resize=1700</t>
  </si>
  <si>
    <t>جبنة دبل كريم مع حبة البركة</t>
  </si>
  <si>
    <t>Double Cream Cheese With Black Seed</t>
  </si>
  <si>
    <t>https://cdn.mafrservices.com/sys-master-root/h94/h71/51938972074014/686667_main.jpg?im=Resize=1700</t>
  </si>
  <si>
    <t>الصافي لبنة كريمية 400 جرام</t>
  </si>
  <si>
    <t>Al Safi  Creamy Labneh 400g</t>
  </si>
  <si>
    <t>https://cdn.mafrservices.com/sys-master-root/h48/h88/49411337027614/689003_main.jpg?im=Resize=1700</t>
  </si>
  <si>
    <t>لورباك زبدة غير مملحة 400جرام</t>
  </si>
  <si>
    <t>Lurpak Butter Unsalted 400g</t>
  </si>
  <si>
    <t>https://cdn.mafrservices.com/sys-master-root/h26/h41/63885748437022/51827_main.jpg?im=Resize=1700</t>
  </si>
  <si>
    <t>رحيمة بيض بني × 15 بيضة</t>
  </si>
  <si>
    <t>Rahima Fresh Eggs Brown &amp;times; 15 Pieces</t>
  </si>
  <si>
    <t>Rahima</t>
  </si>
  <si>
    <t>https://cdn.mafrservices.com/sys-master-root/heb/h16/51509441888286/254558_main.jpg?im=Resize=1700</t>
  </si>
  <si>
    <t>فيكتوريا جبن حلوم  250 جرام</t>
  </si>
  <si>
    <t>Victoria Halloumi Cheese  Lf 250g</t>
  </si>
  <si>
    <t>Victoria</t>
  </si>
  <si>
    <t>https://cdn.mafrservices.com/sys-master-root/h7f/h56/14836881063966/651417_main.jpg?im=Resize=1700</t>
  </si>
  <si>
    <t>ألبرو حليب اللوز 1لتر</t>
  </si>
  <si>
    <t>Alpro Original Almond Milk 1L</t>
  </si>
  <si>
    <t>Alpro</t>
  </si>
  <si>
    <t>https://cdn.mafrservices.com/sys-master-root/h20/hd0/33685561966622/573657_main.jpg?im=Resize=1700</t>
  </si>
  <si>
    <t>كيري جبنة كريمية في مرطبان زجاجي 500 غرام، حزمة من 2</t>
  </si>
  <si>
    <t>Kiri Cheese, 2x500g Jar</t>
  </si>
  <si>
    <t>500g x2</t>
  </si>
  <si>
    <t>https://cdn.mafrservices.com/sys-master-root/h06/ha8/63026595168286/702076_main.jpg?im=Resize=1700</t>
  </si>
  <si>
    <t>المراعي حليب غني وكريمي طويل الأجل كامل الدسم 1لتر</t>
  </si>
  <si>
    <t>Almarai UHT Rich &amp;amp; Creamy Milk Full Fat Milk 1L</t>
  </si>
  <si>
    <t>1L</t>
  </si>
  <si>
    <t>https://cdn.mafrservices.com/sys-master-root/hdc/hb7/52497963352094/106574_main.jpg?im=Resize=1700</t>
  </si>
  <si>
    <t>المراعي جبنة فيتا قليلة الدسم وملح أقل 400 جرام</t>
  </si>
  <si>
    <t>Almarai Lite Feta Cheese 400g</t>
  </si>
  <si>
    <t>https://cdn.mafrservices.com/sys-master-root/h51/h3c/50520426446878/530360_main.jpg?im=Resize=1700</t>
  </si>
  <si>
    <t>جبنة كرافت شيدر 100جرام × 6</t>
  </si>
  <si>
    <t>Kraft Cheddar Cheese 100g 6 Pieces</t>
  </si>
  <si>
    <t>https://cdn.mafrservices.com/sys-master-root/h32/h56/63885751418910/537812_main.jpg?im=Resize=1700</t>
  </si>
  <si>
    <t>بوك جبنة كريمية قليلة الدسم قابلة للدهن  500جرام × 2</t>
  </si>
  <si>
    <t>Puck Low Fat Cream Cheese Spread 500g &amp;times; 2 Pieces</t>
  </si>
  <si>
    <t>https://cdn.mafrservices.com/sys-master-root/ha0/h32/11428647960606/609937_main.jpg?im=Resize=1700</t>
  </si>
  <si>
    <t>جبنة موتزاريلا</t>
  </si>
  <si>
    <t>Mozzarella Cheese</t>
  </si>
  <si>
    <t>https://cdn.mafrservices.com/sys-master-root/h45/hb9/52611231416350/77571_main.jpg?im=Resize=1700</t>
  </si>
  <si>
    <t>بريزيدن موزاريلا وقشقوان مبشور 400 جرام</t>
  </si>
  <si>
    <t>President Shredded Mozzarella &amp;amp; Kashkaval 400g</t>
  </si>
  <si>
    <t>https://cdn.mafrservices.com/sys-master-root/h48/hfb/10371957981214/577610_main.jpg?im=Resize=1700</t>
  </si>
  <si>
    <t>كارفور كلاسيك جبن بري كريمي 200 جرام</t>
  </si>
  <si>
    <t>Carrefour Classic Creamy Brie Cheese 200g</t>
  </si>
  <si>
    <t>https://cdn.mafrservices.com/pim-content/SAU/media/product/372235/1748153489/372235_main.jpg?im=Resize=1700</t>
  </si>
  <si>
    <t>المراعي جبنة شرائح 400جرام × 20 قطعة</t>
  </si>
  <si>
    <t>Almarai Low Fat Cheese Slices 400g &amp;times; 20 Slices</t>
  </si>
  <si>
    <t>https://cdn.mafrservices.com/sys-master-root/hde/h49/50520426053662/530362_main.jpg?im=Resize=1700</t>
  </si>
  <si>
    <t>صحة - بيض 30 بفيتامين هـ  30 بيضة</t>
  </si>
  <si>
    <t>Saha - Eggs x30 Count With Vitamin E</t>
  </si>
  <si>
    <t>https://cdn.mafrservices.com/sys-master-root/h25/h0b/49346535227422/698247_main.jpg?im=Resize=1700</t>
  </si>
  <si>
    <t>لورباك زبدة ناعمة غير مملحة 200جرام</t>
  </si>
  <si>
    <t>Lurpak Soft Butter Unsalted 200g</t>
  </si>
  <si>
    <t>https://cdn.mafrservices.com/sys-master-root/h24/h9c/63885758824478/639446_main.jpg?im=Resize=1700</t>
  </si>
  <si>
    <t>بريزيدنت جبنة مثلثات 480جرام × 32 قطعة</t>
  </si>
  <si>
    <t>President Triangle Cheese 480g &amp;times; 32 Pieces</t>
  </si>
  <si>
    <t>https://cdn.mafrservices.com/sys-master-root/hae/hf3/10371957489694/317645_main.jpg?im=Resize=1700</t>
  </si>
  <si>
    <t>جبنة فريكو إيدام</t>
  </si>
  <si>
    <t>Frico Edam Cheese</t>
  </si>
  <si>
    <t>https://cdn.mafrservices.com/sys-master-root/h29/h25/52526020624414/112451_main.jpg?im=Resize=1700</t>
  </si>
  <si>
    <t>جبن عريش مصري</t>
  </si>
  <si>
    <t>Egyptian Areesh Cheese</t>
  </si>
  <si>
    <t>https://cdn.mafrservices.com/sys-master-root/h48/h56/9168806150174/77533_main.jpg?im=Resize=1700</t>
  </si>
  <si>
    <t>نادك كريمة الطبخ 500 مل</t>
  </si>
  <si>
    <t>Nadec Cooking Cream 500ml</t>
  </si>
  <si>
    <t>https://cdn.mafrservices.com/sys-master-root/h3e/h88/49997908148254/656512_main.jpg?im=Resize=1700</t>
  </si>
  <si>
    <t>المراعي حليب غني وكريمي طةيل الأجل كامل الدسم 1 لتر ×12عبوة</t>
  </si>
  <si>
    <t>Almarai Long Life Full Fat Milk, Rich And Creamy, 1L x12 Pieces</t>
  </si>
  <si>
    <t>https://cdn.mafrservices.com/sys-master-root/h99/hbe/52497963548702/106572_main.jpg?im=Resize=1700</t>
  </si>
  <si>
    <t>بوك لبنة 400جرام</t>
  </si>
  <si>
    <t>Puck Turkish Recipe Lebneh 400g</t>
  </si>
  <si>
    <t>https://cdn.mafrservices.com/sys-master-root/he0/h16/63885752500254/593372_main.jpg?im=Resize=1700</t>
  </si>
  <si>
    <t>نادك لبن طازج كامل الدسم 1.75 لتر</t>
  </si>
  <si>
    <t>Nadec Fresh Laban Full Fat 1.75L</t>
  </si>
  <si>
    <t>https://cdn.mafrservices.com/sys-master-root/h79/h8e/9484968558622/491467_main.jpg?im=Resize=1700</t>
  </si>
  <si>
    <t>كرافت جبنة شيدر 50جرام</t>
  </si>
  <si>
    <t>Kraft Processed Cheddar Cheese 50g</t>
  </si>
  <si>
    <t>https://cdn.mafrservices.com/sys-master-root/h99/h7e/63885745389598/516844_main.jpg?im=Resize=1700</t>
  </si>
  <si>
    <t>المراعي جبنة كريمية قابلة للدهن 500 جرام × 2 حبة</t>
  </si>
  <si>
    <t>Almarai Processed Cream Cheese 500g Pack of 2</t>
  </si>
  <si>
    <t>500gx2</t>
  </si>
  <si>
    <t>https://cdn.mafrservices.com/sys-master-root/h9f/h2f/11680196427806/597490_main.jpg?im=Resize=1700</t>
  </si>
  <si>
    <t>المراعي حمص 250 جرام</t>
  </si>
  <si>
    <t>Almarai Hummus 250g</t>
  </si>
  <si>
    <t>https://cdn.mafrservices.com/sys-master-root/hf2/h15/50520590188574/646215_main.jpg?im=Resize=1700</t>
  </si>
  <si>
    <t>المراعي لبنة  كاملة الدسم على الطريقة التركية 180 مل</t>
  </si>
  <si>
    <t>Almarai Premium Labneh Turkish Style 180ml</t>
  </si>
  <si>
    <t>https://cdn.mafrservices.com/sys-master-root/h53/haf/11658997792798/613896_main.jpg?im=Resize=1700</t>
  </si>
  <si>
    <t>كارفور جبنة ناعمة 100 جرام × 8 قطع</t>
  </si>
  <si>
    <t>Carrefour Fromage Blanc Vanilla Yogurt 100g x Pack of 8</t>
  </si>
  <si>
    <t>100g x Pack of 8</t>
  </si>
  <si>
    <t>https://cdn.mafrservices.com/sys-master-root/ha0/h82/51176020082718/112676_main.jpg?im=Resize=1700</t>
  </si>
  <si>
    <t>أكتيفيا زبادي طازج قليل الدسم 150 جرام عبوة من 6 قطع</t>
  </si>
  <si>
    <t>Activia Fresh Yoghurt Low Fat 150g Pack of 6</t>
  </si>
  <si>
    <t>https://cdn.mafrservices.com/sys-master-root/h6b/h20/63823208185886/581471_main.jpg?im=Resize=1700</t>
  </si>
  <si>
    <t>الصافي زبادي كامل الدسم 170 جرام × 6 قطع</t>
  </si>
  <si>
    <t>Alsafi Fresh Yoghurt Full Fat 170g &amp;times; 6 Pieces</t>
  </si>
  <si>
    <t>https://cdn.mafrservices.com/sys-master-root/h01/hd2/10299398324254/399902_main.jpg?im=Resize=1700</t>
  </si>
  <si>
    <t>ندى - حليب طويل الأمد بنكهة الشوكولاتة 115 مل × 18 قطعة</t>
  </si>
  <si>
    <t>Nada Milk Long Life Chocolate Flavored 115ml x 18 Pieces</t>
  </si>
  <si>
    <t>https://cdn.mafrservices.com/sys-master-root/ha2/h69/50132764557342/517559_main.jpg?im=Resize=1700</t>
  </si>
  <si>
    <t>جبنة فيتا مصرية بالزيتون</t>
  </si>
  <si>
    <t>Egyptian Feta Cheese With Olive (By Kilo)</t>
  </si>
  <si>
    <t>https://cdn.mafrservices.com/sys-master-root/hff/hfc/27009397391390/676169_main.jpg?im=Resize=1700</t>
  </si>
  <si>
    <t>المراعي حليب بروتين خالي من اللاكتوز، قليل الدسم 400 مل</t>
  </si>
  <si>
    <t>Almarai Protein Milk, Lactose Free, Low Fat, 400ml</t>
  </si>
  <si>
    <t>400ml</t>
  </si>
  <si>
    <t>https://cdn.mafrservices.com/pim-content/SAU/media/product/746555/1739787003/746555_main.jpg?im=Resize=1700</t>
  </si>
  <si>
    <t>كارفور جورجونزولا سلايس 150 جرام</t>
  </si>
  <si>
    <t>Carrefour Gorgonzola Slice 150g</t>
  </si>
  <si>
    <t>https://cdn.mafrservices.com/sys-master-root/h07/h0c/51176128053278/455249_main.jpg?im=Resize=1700</t>
  </si>
  <si>
    <t>لورباك زبدة مملحة ممزوجة بزيت الكانولا 400 جرام</t>
  </si>
  <si>
    <t>Lurpak Soft Butter Salted 400g</t>
  </si>
  <si>
    <t>https://cdn.mafrservices.com/sys-master-root/he3/h9f/63885758955550/639449_main.jpg?im=Resize=1700</t>
  </si>
  <si>
    <t>كرافت جبنة شيدر 50 جرام 7 + 1 مجاناً</t>
  </si>
  <si>
    <t>Kraft Cheddar Cheese 50g 7 + 1 Free</t>
  </si>
  <si>
    <t>https://cdn.mafrservices.com/sys-master-root/hd1/h62/9159138541598/575672_main.jpg?im=Resize=1700</t>
  </si>
  <si>
    <t>بوك كريمة الطبخ  1 لتر</t>
  </si>
  <si>
    <t>Puck Cooking Cream 1L</t>
  </si>
  <si>
    <t>https://cdn.mafrservices.com/sys-master-root/hbf/h63/63885751025694/528800_main.jpg?im=Resize=1700</t>
  </si>
  <si>
    <t>فيلادلفيا جبنةقابلة للدهن 1.65 كجم</t>
  </si>
  <si>
    <t>Philadelphia Spread Cheese 1.65 Kg</t>
  </si>
  <si>
    <t>Philadelphia</t>
  </si>
  <si>
    <t>https://cdn.mafrservices.com/sys-master-root/hdf/h59/9945568411678/136318_main.jpg?im=Resize=1700</t>
  </si>
  <si>
    <t>المراعي حمص بالليمون 250 جرام</t>
  </si>
  <si>
    <t>Almarai Hummus Lemon Twist 250g</t>
  </si>
  <si>
    <t>https://cdn.mafrservices.com/sys-master-root/h07/h92/50520593924126/664657_main.jpg?im=Resize=1700</t>
  </si>
  <si>
    <t>الصافي زبادي قليل الدسم 170 جرام × 6 قطع</t>
  </si>
  <si>
    <t>Alsafi Fresh Yoghurt Low Fat 170g &amp;times; 6 Pieces</t>
  </si>
  <si>
    <t>https://cdn.mafrservices.com/sys-master-root/h73/h0e/10110460362782/399903_main.jpg?im=Resize=1700</t>
  </si>
  <si>
    <t>كارفور شرائح جبنة جودة  200 جرام</t>
  </si>
  <si>
    <t>Carrefour Gouda Cheese Slices 200g</t>
  </si>
  <si>
    <t>Netherlands</t>
  </si>
  <si>
    <t>https://cdn.mafrservices.com/sys-master-root/h03/hc1/51176024801310/180886_main.jpg?im=Resize=1700</t>
  </si>
  <si>
    <t>ألبرو حليب جوز الهند للمحترفين 1لتر</t>
  </si>
  <si>
    <t>Alpro Professional Coconut Soya Drink 1L</t>
  </si>
  <si>
    <t>Belgium</t>
  </si>
  <si>
    <t>https://cdn.mafrservices.com/sys-master-root/hb3/h9f/63282203983902/586551_main.jpg?im=Resize=1700</t>
  </si>
  <si>
    <t>فيلادلفيا  جبنة قابلة للدهن 180 جرام</t>
  </si>
  <si>
    <t>Philadelphia Cream Cheese Light 180g</t>
  </si>
  <si>
    <t>Germany</t>
  </si>
  <si>
    <t>180g</t>
  </si>
  <si>
    <t>https://cdn.mafrservices.com/sys-master-root/h23/h1b/50834550718494/109495_main.jpg?im=Resize=1700</t>
  </si>
  <si>
    <t>داري جبن قشقوان بقري</t>
  </si>
  <si>
    <t>Dari Cow Kashkaval Cheese</t>
  </si>
  <si>
    <t>https://cdn.mafrservices.com/sys-master-root/h4f/h07/12004058169374/113090_main.jpg?im=Resize=1700</t>
  </si>
  <si>
    <t>ندى حليب طويل الأمد كامل الدسم 115 مل عبوة من 18 قطعة</t>
  </si>
  <si>
    <t>Nada Long Life Full Fat Milk 115 ml Pack of 18</t>
  </si>
  <si>
    <t>https://cdn.mafrservices.com/sys-master-root/h25/hb7/10276486840350/517558_main.jpg?im=Resize=1700</t>
  </si>
  <si>
    <t>المراعي لبن بنكهة الفراولة 180 مل</t>
  </si>
  <si>
    <t>Almarai Flavored Laban Strawberry 180ml</t>
  </si>
  <si>
    <t>https://cdn.mafrservices.com/sys-master-root/h63/h2a/50520419237918/473427_main.jpg?im=Resize=1700</t>
  </si>
  <si>
    <t>كرافت جبنة فيلادلفيا عادي 280 غرام</t>
  </si>
  <si>
    <t>Philadelphia Cream Cheese Original 280g</t>
  </si>
  <si>
    <t>280g</t>
  </si>
  <si>
    <t>https://cdn.mafrservices.com/sys-master-root/h64/h17/50834550849566/109496_main.jpg?im=Resize=1700</t>
  </si>
  <si>
    <t>المراعي زبادي طازج مانجو 150 جرام</t>
  </si>
  <si>
    <t>Almarai Fresh Mango Yoghurt 150g</t>
  </si>
  <si>
    <t>150g</t>
  </si>
  <si>
    <t>https://cdn.mafrservices.com/sys-master-root/h93/hfe/50520584749086/619762_main.jpg?im=Resize=1700</t>
  </si>
  <si>
    <t>جبنة إكسترا كومت ايه أو بي من كارفور250 غ</t>
  </si>
  <si>
    <t>Carrefour AOP Comte Cheese 250g</t>
  </si>
  <si>
    <t>250g</t>
  </si>
  <si>
    <t>https://cdn.mafrservices.com/sys-master-root/hd1/h71/51176137752606/588402_main.jpg?im=Resize=1700</t>
  </si>
  <si>
    <t>بريزيدن موزاريلا أربع نكهات 400 جرام</t>
  </si>
  <si>
    <t>President Shredded Natural 4 Cheese 400g</t>
  </si>
  <si>
    <t>https://cdn.mafrservices.com/sys-master-root/hdc/h54/50041821921310/614758_main.jpg?im=Resize=1700</t>
  </si>
  <si>
    <t>المراعي جبنة شرائح للبرجر 200جرام × 10 قطع</t>
  </si>
  <si>
    <t>Almarai Cheese Slice Burger 200g &amp;times; 10 Pieces</t>
  </si>
  <si>
    <t>https://cdn.mafrservices.com/sys-master-root/h8b/ha9/50520417206302/106544_main.jpg?im=Resize=1700</t>
  </si>
  <si>
    <t>بوك كريمة الطهي  200 جرام</t>
  </si>
  <si>
    <t>Puck Cooking Cream 200ml</t>
  </si>
  <si>
    <t>200ml</t>
  </si>
  <si>
    <t>https://cdn.mafrservices.com/sys-master-root/hab/h28/63885757579294/610020_main.jpg?im=Resize=1700</t>
  </si>
  <si>
    <t>لورباك زبدة غير مملحة 10جرام × 100</t>
  </si>
  <si>
    <t>Lurpak Unsalted Butter 10g &amp;times; 100</t>
  </si>
  <si>
    <t>https://cdn.mafrservices.com/sys-master-root/hdc/h62/9317393596446/419744_main.jpg?im=Resize=1700</t>
  </si>
  <si>
    <t>جبنة موزاريلا مبشورة من بوك 900 جرام</t>
  </si>
  <si>
    <t>Puck Shredded Mozzarella Analogue Cheese 900g</t>
  </si>
  <si>
    <t>900g</t>
  </si>
  <si>
    <t>https://cdn.mafrservices.com/sys-master-root/h0a/hfb/63885869744158/87535_main.jpg?im=Resize=1700</t>
  </si>
  <si>
    <t>ندى زبادي يوناني 360 جرام</t>
  </si>
  <si>
    <t>Nada greek Yoghurt Plain 360g</t>
  </si>
  <si>
    <t>https://cdn.mafrservices.com/sys-master-root/hd6/hfc/63422308941854/582799_main.jpg?im=Resize=1700</t>
  </si>
  <si>
    <t>المراعي جبنة كريمية قابلة للدهن 500جرام</t>
  </si>
  <si>
    <t>Almarai Processed Cream Cheese 500g</t>
  </si>
  <si>
    <t>https://cdn.mafrservices.com/sys-master-root/hfc/h5a/50520421040158/485959_main.jpg?im=Resize=1700</t>
  </si>
  <si>
    <t>المراعي موزاريلا مبشورة 180 جرام</t>
  </si>
  <si>
    <t>Almarai Shredded Mozzarella Cheese 180g</t>
  </si>
  <si>
    <t>https://cdn.mafrservices.com/sys-master-root/h1a/hbe/50681329090590/715021_main.jpg?im=Resize=1700</t>
  </si>
  <si>
    <t>جبنة شيدر برتقالية - المملكة المتحدة</t>
  </si>
  <si>
    <t>Orange Cheddar Cheese Uk</t>
  </si>
  <si>
    <t>https://cdn.mafrservices.com/sys-master-root/h57/ha7/51176332427294/77591_main.jpg?im=Resize=1700</t>
  </si>
  <si>
    <t>بريزيدن شيدر موزاريلا 450 جرام</t>
  </si>
  <si>
    <t>President Shredded Mozzarella And Cheddar Cheese 450g</t>
  </si>
  <si>
    <t>https://cdn.mafrservices.com/sys-master-root/h03/h16/14836869529630/645367_main.jpg?im=Resize=1700</t>
  </si>
  <si>
    <t>دانيت فانيليا 75 جرام × 7 + 1 مجاناً</t>
  </si>
  <si>
    <t>Danette Vanilla Pudding 75g &amp;times; 7 + 1 Free</t>
  </si>
  <si>
    <t>https://cdn.mafrservices.com/sys-master-root/hd9/h74/11218177851422/550810_main.jpg?im=Resize=1700</t>
  </si>
  <si>
    <t>كارفور حلوى تفاح مانجو باشون 100 جرام × 4</t>
  </si>
  <si>
    <t>Carrefour Apple Mango Passion 100g &amp;times; 4</t>
  </si>
  <si>
    <t>https://cdn.mafrservices.com/sys-master-root/h78/h01/51176128380958/473235_main.jpg?im=Resize=1700</t>
  </si>
  <si>
    <t>بريزيدن لبنة تركية لايت 275 جرام</t>
  </si>
  <si>
    <t>President Light Labneh 275g</t>
  </si>
  <si>
    <t>Ulker</t>
  </si>
  <si>
    <t>275 g</t>
  </si>
  <si>
    <t>https://cdn.mafrservices.com/sys-master-root/h66/ha6/10371958341662/174166_main.jpg?im=Resize=1700</t>
  </si>
  <si>
    <t>صحة بيض سوبر × 6</t>
  </si>
  <si>
    <t>Saha Super Eggs 6 Pieces</t>
  </si>
  <si>
    <t>https://cdn.mafrservices.com/sys-master-root/he4/h2b/27009394999326/670520_main.jpg?im=Resize=1700</t>
  </si>
  <si>
    <t>البقرة الضاحكة، جبنة مثلثات قابلة للدهن، Pixar Limited Edition،  عبوة من 8 قطعة × 4 ، 32 قطعة ، 480 جرام</t>
  </si>
  <si>
    <t>La Vache Qui Rit Original Spreadable Cheese Triangles, 8 portions x4 packs, 32 Portions, 480g</t>
  </si>
  <si>
    <t>Vqr</t>
  </si>
  <si>
    <t>Egypt</t>
  </si>
  <si>
    <t>480g</t>
  </si>
  <si>
    <t>https://cdn.mafrservices.com/sys-master-root/he0/he5/51308362563614/674864_main.jpg?im=Resize=1700</t>
  </si>
  <si>
    <t>المراعي زبادي بالفراولة 140 جرام × 5 + 1 مجاناً</t>
  </si>
  <si>
    <t>Almarai Vetal Layered Fruit Yoghurt Strawberry 140g &amp;times; 5 + 1 Free</t>
  </si>
  <si>
    <t>140gx6</t>
  </si>
  <si>
    <t>https://cdn.mafrservices.com/sys-master-root/he8/h87/9235091521566/580264_main.jpg?im=Resize=1700</t>
  </si>
  <si>
    <t>المراعي حليب نجوم كامل الدسم طويل الأجل 150 مل × 18</t>
  </si>
  <si>
    <t>Almarai Long Life Full Fat Nijoom Plain Milk 150ml &amp;times; 18 Pieces</t>
  </si>
  <si>
    <t>https://cdn.mafrservices.com/sys-master-root/hb2/h16/10674098405406/600989_main.jpg?im=Resize=1700</t>
  </si>
  <si>
    <t>صحة بيض السيلينيوم العضوي 15 بيضة</t>
  </si>
  <si>
    <t>Saha Organic Selenium Eggs 15 Pieces</t>
  </si>
  <si>
    <t>https://cdn.mafrservices.com/sys-master-root/h66/h5a/28760412160030/670518_main.jpg?im=Resize=1700</t>
  </si>
  <si>
    <t>كارفور شرائح جبنة إيمنتال فرنسية  200 جرام</t>
  </si>
  <si>
    <t>Carrefour French Emmental Cheese Slices 200g</t>
  </si>
  <si>
    <t>https://cdn.mafrservices.com/sys-master-root/hdb/hc4/51176126808094/394912_main.jpg?im=Resize=1700</t>
  </si>
  <si>
    <t>جبنة شيدر بيضاء - المملكة المتحدة</t>
  </si>
  <si>
    <t>White Cheddar Cheese Uk</t>
  </si>
  <si>
    <t>https://cdn.mafrservices.com/sys-master-root/h18/h94/52303978299422/77599_main.jpg?im=Resize=1700</t>
  </si>
  <si>
    <t>بوك لبنة  180جرام</t>
  </si>
  <si>
    <t>Puck Labneh Spread 180g</t>
  </si>
  <si>
    <t>https://cdn.mafrservices.com/sys-master-root/h55/he6/63885869121566/86141_main.jpg?im=Resize=1700</t>
  </si>
  <si>
    <t>الصافي لبن كامل الدسم 2لتر</t>
  </si>
  <si>
    <t>Al Safi Full Fat Laban 2L</t>
  </si>
  <si>
    <t>https://cdn.mafrservices.com/sys-master-root/hc1/h3e/49411313434654/47456_main.jpg?im=Resize=1700</t>
  </si>
  <si>
    <t>نادك جبنة شرائح 400 جرام</t>
  </si>
  <si>
    <t>Nadec Cheese Sliced 400g</t>
  </si>
  <si>
    <t>https://cdn.mafrservices.com/pim-content/SAU/media/product/642924/1739179803/642924_main.jpg?im=Resize=1700</t>
  </si>
  <si>
    <t>كارفور حلوى تفاح 100 جرام × 8</t>
  </si>
  <si>
    <t>Carrefour Apple Compotes 100g x Pack of 8</t>
  </si>
  <si>
    <t>100gx8</t>
  </si>
  <si>
    <t>https://cdn.mafrservices.com/sys-master-root/h7c/hce/51176125759518/372320_main.jpg?im=Resize=1700</t>
  </si>
  <si>
    <t>السعودية حليب طويل الأجل كامل الدسم  2لتر</t>
  </si>
  <si>
    <t>Saudia Long Life Full Fat Milk 2l</t>
  </si>
  <si>
    <t>https://cdn.mafrservices.com/sys-master-root/heb/h90/50229095727134/519112_main.jpg?im=Resize=1700</t>
  </si>
  <si>
    <t>كارفور تفاح وفراولة 100 جرام × 4</t>
  </si>
  <si>
    <t>Carrefour Strawberry &amp;amp; Apple Compote 100gx4</t>
  </si>
  <si>
    <t>https://cdn.mafrservices.com/sys-master-root/h15/h57/51176025817118/263410_main.jpg?im=Resize=1700</t>
  </si>
  <si>
    <t>فرسانا (شبيه جبنة)موزاريلا مبشور 200 جرام</t>
  </si>
  <si>
    <t>Forsana Shredded Analogue Chees  Mozarella 200g2Pieces</t>
  </si>
  <si>
    <t>Forsana</t>
  </si>
  <si>
    <t>https://cdn.mafrservices.com/sys-master-root/hc0/hb0/9908236484638/415990_main.jpg?im=Resize=1700</t>
  </si>
  <si>
    <t>زبدة مخلوطة غير مملحة</t>
  </si>
  <si>
    <t>Unsalted Butter Blend</t>
  </si>
  <si>
    <t>https://cdn.mafrservices.com/sys-master-root/h0d/h17/9168807264286/142044_main.jpg?im=Resize=1700</t>
  </si>
  <si>
    <t>ندى حليب طازج 3 لتر</t>
  </si>
  <si>
    <t>Nada Fresh Milk 3L</t>
  </si>
  <si>
    <t>https://cdn.mafrservices.com/sys-master-root/hae/hca/10276770021406/608730_main.jpg?im=Resize=1700</t>
  </si>
  <si>
    <t>كارفور زبادي بالخوخ 150 جرام × 4</t>
  </si>
  <si>
    <t>Carrefour Peach &amp;amp; Passion Greek Fruit Yoghurt 150g x Pack of 4</t>
  </si>
  <si>
    <t>150g x Pack of 4</t>
  </si>
  <si>
    <t>https://cdn.mafrservices.com/sys-master-root/hbd/hc1/51176139522078/595047_main.jpg?im=Resize=1700</t>
  </si>
  <si>
    <t>صحة - بيض محضّر بفيتامين د 30 حبة</t>
  </si>
  <si>
    <t>Saha - Vitamin D Egg 30&amp;#39;s</t>
  </si>
  <si>
    <t>30's</t>
  </si>
  <si>
    <t>https://cdn.mafrservices.com/sys-master-root/h71/h4a/49346523004958/691538_main.jpg?im=Resize=1700</t>
  </si>
  <si>
    <t>كرافت جبنة شيدر 500 جرام</t>
  </si>
  <si>
    <t>Kraft Block Cheddar Cheese 500g</t>
  </si>
  <si>
    <t>https://cdn.mafrservices.com/sys-master-root/h2d/hf2/63885738508318/109483_main.jpg?im=Resize=1700</t>
  </si>
  <si>
    <t>المراعي جبنة  قليلة الدسم 200جرام × 10 قطع</t>
  </si>
  <si>
    <t>Almarai Low Fat Cheese Slices 200g</t>
  </si>
  <si>
    <t>https://cdn.mafrservices.com/sys-master-root/hd7/h94/50520417828894/106549_main.jpg?im=Resize=1700</t>
  </si>
  <si>
    <t>نادك حليب شوكولاتة طويل الأجل 125 مل × 18</t>
  </si>
  <si>
    <t>Nadec Chocolate Milk Long Life 125ml &amp;times; 18</t>
  </si>
  <si>
    <t>https://cdn.mafrservices.com/pim-content/SAU/media/product/632517/1736861403/632517_main.jpg?im=Resize=1700</t>
  </si>
  <si>
    <t>كارفور جبنة راكليت 400 جرام</t>
  </si>
  <si>
    <t>Carrefour Sliced Raclette Cheese 400g</t>
  </si>
  <si>
    <t>https://cdn.mafrservices.com/sys-master-root/h70/h80/51176019820574/112721_main.jpg?im=Resize=1700</t>
  </si>
  <si>
    <t>كارفور مزيج من 3 جبن مبشور  200 جرام</t>
  </si>
  <si>
    <t>Carrefour Mix 3 Grated Cheeses 200g</t>
  </si>
  <si>
    <t>https://cdn.mafrservices.com/sys-master-root/hbd/hbe/11258425507870/588401_main.jpg?im=Resize=1700</t>
  </si>
  <si>
    <t>أكتيفيا زبادي يوناني دبل زيرو 150 جرام (0% دهون، 0% سكر مضاف)</t>
  </si>
  <si>
    <t>Activia Double Zero Greek Yogurt 150g (0% Fat, 0% Added Sugar)</t>
  </si>
  <si>
    <t>https://cdn.mafrservices.com/pim-content/SAU/media/product/745446/1737531006/745446_main.jpg?im=Resize=1700</t>
  </si>
  <si>
    <t>كريستيس جبنة حلومي  225 جرام</t>
  </si>
  <si>
    <t>Christis Halloumi Cheese 225g</t>
  </si>
  <si>
    <t>Christis</t>
  </si>
  <si>
    <t>https://cdn.mafrservices.com/sys-master-root/h71/hff/10371957817374/51821_main.jpg?im=Resize=1700</t>
  </si>
  <si>
    <t>بريزيدن جبنة موزاريلا مبشورة 400 جرام</t>
  </si>
  <si>
    <t>President Lite Shredded Mozzarella 400g</t>
  </si>
  <si>
    <t>https://cdn.mafrservices.com/sys-master-root/h8d/h2d/10358460973086/578675_main.jpg?im=Resize=1700</t>
  </si>
  <si>
    <t>الأبقار الثلاث جبن ابيض كامل الدسم 500 جرام</t>
  </si>
  <si>
    <t>The Three Cows White Cheese Full Cream Low Salt 500g</t>
  </si>
  <si>
    <t>The three cows</t>
  </si>
  <si>
    <t>500g</t>
  </si>
  <si>
    <t>https://cdn.mafrservices.com/sys-master-root/hd8/h32/63885748895774/51798_main.jpg?im=Resize=1700</t>
  </si>
  <si>
    <t>بوك شبيه جبنة كريمية بيضاء مطبوخة قابلة للدهن 500جرام</t>
  </si>
  <si>
    <t>Puck Processed White Cream Analogue Cheese Spread 500g</t>
  </si>
  <si>
    <t>https://cdn.mafrservices.com/sys-master-root/h9f/h0e/49346624618526/87496_main.jpg?im=Resize=1700</t>
  </si>
  <si>
    <t>جبنة بدر قليلة الدسم مع الحبة السوداء</t>
  </si>
  <si>
    <t>Badr Cheese Low Fat With Black Seeds (Per Kg)</t>
  </si>
  <si>
    <t>https://cdn.mafrservices.com/sys-master-root/h75/h1a/9168807362590/419456_main.jpg?im=Resize=1700</t>
  </si>
  <si>
    <t>المراعي زبادي 150 جرام</t>
  </si>
  <si>
    <t>Almarai Greek Style Plain Yoghurt 150g</t>
  </si>
  <si>
    <t>https://cdn.mafrservices.com/sys-master-root/h8a/h36/11656138850334/613903_main.jpg?im=Resize=1700</t>
  </si>
  <si>
    <t>كارفور زبادي  125 جرام × 4</t>
  </si>
  <si>
    <t>Carrefour Natural Yogurt 125g x4 Pieces</t>
  </si>
  <si>
    <t>125g x Pack of 4</t>
  </si>
  <si>
    <t>https://cdn.mafrservices.com/sys-master-root/h39/h75/51176137850910/588559_main.jpg?im=Resize=1700</t>
  </si>
  <si>
    <t>كارفور كومبوت تفاح والمشمش 100 جرام × 4</t>
  </si>
  <si>
    <t>Carrefour Apple And Apricot Compote 100gx4</t>
  </si>
  <si>
    <t>https://cdn.mafrservices.com/sys-master-root/h15/h5e/51176124579870/372322_main.jpg?im=Resize=1700</t>
  </si>
  <si>
    <t>بوك كريمة الطهي الخفيفة قليلة الدسم  500 مل</t>
  </si>
  <si>
    <t>Puck Low Fat Light Cooking Cream 500ml</t>
  </si>
  <si>
    <t>https://cdn.mafrservices.com/sys-master-root/he5/h17/63885752598558/578032_main.jpg?im=Resize=1700</t>
  </si>
  <si>
    <t>داري - جبنة موزاريلا معالجة 900 جرام</t>
  </si>
  <si>
    <t>Dari - Analogue Mozzarella 900g</t>
  </si>
  <si>
    <t>https://cdn.mafrservices.com/sys-master-root/hc3/h1d/12783965470750/553704_main.jpg?im=Resize=1700</t>
  </si>
  <si>
    <t>كارفور جرانا بادانو 200 جرام</t>
  </si>
  <si>
    <t>Carrefour Grana Padano Grated Cheese 200g</t>
  </si>
  <si>
    <t>https://cdn.mafrservices.com/sys-master-root/ha4/hc6/14913942814750/633323_main.jpg?im=Resize=1700</t>
  </si>
  <si>
    <t>بالاد لبنة تركية، 400 جرام، عبوة من قطعتين</t>
  </si>
  <si>
    <t>Balade Turkish Labneh, 400g, Pack of 2</t>
  </si>
  <si>
    <t>BALADE</t>
  </si>
  <si>
    <t>400g, Pack Of 2</t>
  </si>
  <si>
    <t>https://cdn.mafrservices.com/pim-content/SAU/media/product/743337/1735831203/743337_main.jpg?im=Resize=1700</t>
  </si>
  <si>
    <t>كارفور كلاسيك - جبنة ماعز شرائح 200 جرام</t>
  </si>
  <si>
    <t>Carrefour Goat Cheese Slices 200g</t>
  </si>
  <si>
    <t>https://cdn.mafrservices.com/pim-content/SAU/media/product/636094/1739367004/636094_main.jpg?im=Resize=1700</t>
  </si>
  <si>
    <t>كارفور شرائح جبن مسعود 200 جرام</t>
  </si>
  <si>
    <t>Carrefour Maasdam Cheese Slices 200g</t>
  </si>
  <si>
    <t>https://cdn.mafrservices.com/sys-master-root/h03/h92/9895286439966/635825_main.jpg?im=Resize=1700</t>
  </si>
  <si>
    <t>المراعي حمص كلاسيك 250جرام ×2</t>
  </si>
  <si>
    <t>Almarai Classic Hummus 250g x2</t>
  </si>
  <si>
    <t>250g X2</t>
  </si>
  <si>
    <t>https://cdn.mafrservices.com/sys-master-root/h5d/h12/50520605655070/700572_main.jpg?im=Resize=1700</t>
  </si>
  <si>
    <t>نادك برجر  جبنة 10 شرائح 200 جرام</t>
  </si>
  <si>
    <t>Nadec Cheese Burger 10 Slices 200g</t>
  </si>
  <si>
    <t>https://cdn.mafrservices.com/pim-content/SAU/media/product/593377/1739179803/593377_main.jpg?im=Resize=1700</t>
  </si>
  <si>
    <t>لورباك زبدة غير مملحة 50جرام × 6</t>
  </si>
  <si>
    <t>Lurpak Unsalted Butter Mini Blocks 50g x6</t>
  </si>
  <si>
    <t>50g x6</t>
  </si>
  <si>
    <t>https://cdn.mafrservices.com/sys-master-root/h99/h41/63885756530718/610022_main.jpg?im=Resize=1700</t>
  </si>
  <si>
    <t>المراعي حليب نجوم بنكهة الفراولة 150 مل × 8</t>
  </si>
  <si>
    <t>Almarai Long Life Nijoom Strawberry Flavored Milk 150ml times 18 Pieces</t>
  </si>
  <si>
    <t>150ml</t>
  </si>
  <si>
    <t>https://cdn.mafrservices.com/sys-master-root/hdb/h9f/10674678104094/568322_main.jpg?im=Resize=1700</t>
  </si>
  <si>
    <t>المراعي حليب طازج قليل الدسم 1 لتر</t>
  </si>
  <si>
    <t>Almarai Low Fat Fresh Milk 1L</t>
  </si>
  <si>
    <t>https://cdn.mafrservices.com/sys-master-root/h0d/ha2/50520417468446/106480_main.jpg?im=Resize=1700</t>
  </si>
  <si>
    <t>كارفور تاغلياتيل طازجة 350 جرام</t>
  </si>
  <si>
    <t>Carrefour Fresh Tagliatelles 350g</t>
  </si>
  <si>
    <t>https://cdn.mafrservices.com/sys-master-root/h37/hdc/51176126152734/404880_main.jpg?im=Resize=1700</t>
  </si>
  <si>
    <t>كارفور جبنة زرقاء 125 جرام</t>
  </si>
  <si>
    <t>Carrefour Creamy Blue Cheese 125g</t>
  </si>
  <si>
    <t>https://cdn.mafrservices.com/sys-master-root/h3a/h7a/51176135000094/567099_main.jpg?im=Resize=1700</t>
  </si>
  <si>
    <t>السعودية حليب بنكهة الشوكولاتة 125مل × 24</t>
  </si>
  <si>
    <t>Saudia Chocolate Milk 125Ml &amp;times; 24 Pieces</t>
  </si>
  <si>
    <t>https://cdn.mafrservices.com/sys-master-root/h99/h82/12970148626462/652844_main.jpg?im=Resize=1700</t>
  </si>
  <si>
    <t>المراعي كريمة خفق 500 مل</t>
  </si>
  <si>
    <t>Al Marai Whipping Cream 500ml</t>
  </si>
  <si>
    <t>500ml</t>
  </si>
  <si>
    <t>https://cdn.mafrservices.com/sys-master-root/hc0/hef/50520424415262/528576_main.jpg?im=Resize=1700</t>
  </si>
  <si>
    <t>كرافت جبنة شيدر الأصلية 480جرام</t>
  </si>
  <si>
    <t>Kraft Spreadable Cheddar Cheese Original 480g</t>
  </si>
  <si>
    <t>https://cdn.mafrservices.com/sys-master-root/hea/h13/63885744308254/199897_main.jpg?im=Resize=1700</t>
  </si>
  <si>
    <t>كارفور بلو دي بريس 250 جرام</t>
  </si>
  <si>
    <t>Carrefour Bleu De Bresse 250g</t>
  </si>
  <si>
    <t>https://cdn.mafrservices.com/sys-master-root/h53/h51/14570234707998/466195_main.jpg?im=Resize=1700</t>
  </si>
  <si>
    <t>ندى بروتين بنكهة الشوكولاتة بالحليب 320 مل</t>
  </si>
  <si>
    <t>Nada Chocolate Protein Milk 320ml</t>
  </si>
  <si>
    <t>320ml</t>
  </si>
  <si>
    <t>https://cdn.mafrservices.com/sys-master-root/hcc/hd3/63513513721886/624555_main.jpg?im=Resize=1700</t>
  </si>
  <si>
    <t>أكتيميل مشروب ألبان بالتوت 93 مل × 4</t>
  </si>
  <si>
    <t>Actimel Mixed Berries Drinkable Yoghurt 93ml Pack of 4</t>
  </si>
  <si>
    <t>93ml</t>
  </si>
  <si>
    <t>https://cdn.mafrservices.com/sys-master-root/he5/h26/11218213634078/615462_main.jpg?im=Resize=1700</t>
  </si>
  <si>
    <t>كارفور شرائح جبنة شيدر حمراء 200 جرام</t>
  </si>
  <si>
    <t>Carrefour Red Cheddar Cheese For Hamburger 200g</t>
  </si>
  <si>
    <t>https://cdn.mafrservices.com/sys-master-root/hb5/hc3/51176141684766/600850_main.jpg?im=Resize=1700</t>
  </si>
  <si>
    <t>كارفور روكفور  150 جرام</t>
  </si>
  <si>
    <t>Carrefour Roquefort 150g</t>
  </si>
  <si>
    <t>https://cdn.mafrservices.com/sys-master-root/h6d/hce/51190107176990/372249_main.jpg?im=Resize=1700</t>
  </si>
  <si>
    <t>الصافي زبادي كامل الدسم 1 كجم</t>
  </si>
  <si>
    <t>Alsafi Full Fat Yoghurt 1kg</t>
  </si>
  <si>
    <t>https://cdn.mafrservices.com/sys-master-root/h11/hda/26993933615134/642925_main.jpg?im=Resize=1700</t>
  </si>
  <si>
    <t>كارفور كاسترد بالكراميل 100 جرام × 4</t>
  </si>
  <si>
    <t>Carrefour Caramel Custard 100g &amp;times; 4</t>
  </si>
  <si>
    <t>https://cdn.mafrservices.com/pim-content/SAU/media/product/434133/1721196603/434133_main.jpg?im=Resize=1700</t>
  </si>
  <si>
    <t>الصافي قشطة 100 جرام × 2</t>
  </si>
  <si>
    <t>Al Safi Fresh Cream 100g &amp;times; 2</t>
  </si>
  <si>
    <t>https://cdn.mafrservices.com/sys-master-root/hb1/h79/27108650385438/472139_main.jpg?im=Resize=1700</t>
  </si>
  <si>
    <t>نادك زبادي طازج كامل الدسم 1 كجم</t>
  </si>
  <si>
    <t>Nadec Fresh Yoghurt Full Cream 1kg</t>
  </si>
  <si>
    <t>https://cdn.mafrservices.com/sys-master-root/hbf/h27/52303970598942/156328_main.jpg?im=Resize=1700</t>
  </si>
  <si>
    <t>دانيت كريم كراميل 80 جرام × 7 + 1 مجاناً</t>
  </si>
  <si>
    <t>Danette Cream Caramel 80g &amp;times; 7 + 1 Free</t>
  </si>
  <si>
    <t>https://cdn.mafrservices.com/sys-master-root/hea/hcb/11218621825054/157082_main.jpg?im=Resize=1700</t>
  </si>
  <si>
    <t>كرافت جبنة شيدر 250 جرام</t>
  </si>
  <si>
    <t>Kraft Processed Cheddar Cheese 250g</t>
  </si>
  <si>
    <t>https://cdn.mafrservices.com/sys-master-root/h70/heb/63885738311710/109484_main.jpg?im=Resize=1700</t>
  </si>
  <si>
    <t>بالاد زبادي كفير بروتيني، 180 جرام</t>
  </si>
  <si>
    <t>Balade Protein Kefir Yogurt, 180g</t>
  </si>
  <si>
    <t>https://cdn.mafrservices.com/pim-content/SAU/media/product/744186/1736160003/744186_main.jpg?im=Resize=1700</t>
  </si>
  <si>
    <t>أنكور زبدة غير مملحة 100 جرام</t>
  </si>
  <si>
    <t>Anchor Unsalted Butter 100g</t>
  </si>
  <si>
    <t>Anchor</t>
  </si>
  <si>
    <t>https://cdn.mafrservices.com/pim-content/SAU/media/product/749777/1746624604/749777_main.jpg?im=Resize=1700</t>
  </si>
  <si>
    <t>دانيت كوكي بودنج 75 جرام × 7 + 1 مجاناً</t>
  </si>
  <si>
    <t>Danette Cookie Pudding 75g &amp;times; 7 + 1 Free</t>
  </si>
  <si>
    <t>https://cdn.mafrservices.com/sys-master-root/h1a/h71/11218177982494/550811_main.jpg?im=Resize=1700</t>
  </si>
  <si>
    <t>ندى زبادي يوناني سادة خالي الدسم  360 جرام</t>
  </si>
  <si>
    <t>Nada greek yoghurt plain zero fat 360 g</t>
  </si>
  <si>
    <t>360 g</t>
  </si>
  <si>
    <t>https://cdn.mafrservices.com/sys-master-root/h88/h29/63422372741150/597425_main.jpg?im=Resize=1700</t>
  </si>
  <si>
    <t>تلال غوار عجين المطبق 1كج</t>
  </si>
  <si>
    <t>Telal Ghawar motabbak leaves 1kg</t>
  </si>
  <si>
    <t>https://cdn.mafrservices.com/sys-master-root/h0b/hae/26498438758430/607924_main.jpg?im=Resize=1700</t>
  </si>
  <si>
    <t>بلدي فارمز - حليب الكفير 1 لتر</t>
  </si>
  <si>
    <t>Balade Farms - Kefir Milk 1L</t>
  </si>
  <si>
    <t>https://cdn.mafrservices.com/pim-content/SAU/media/product/740362/1746603004/740362_main.jpg?im=Resize=1700</t>
  </si>
  <si>
    <t>كارفور جبن الماعز بريبس 200 جرام</t>
  </si>
  <si>
    <t>Carrefour Goat Cheese Brebis 200g</t>
  </si>
  <si>
    <t>https://cdn.mafrservices.com/sys-master-root/hc1/hc0/51176222982174/621848_main.jpg?im=Resize=1700</t>
  </si>
  <si>
    <t>بريزيدن لبنة تركية 700 جرام</t>
  </si>
  <si>
    <t>President Turkish labaneh 700 g</t>
  </si>
  <si>
    <t>700 g</t>
  </si>
  <si>
    <t>https://cdn.mafrservices.com/sys-master-root/h81/he7/13148996239390/644150_main.jpg?im=Resize=1700</t>
  </si>
  <si>
    <t>كارفور  سوجا فانيليا 100 جرام × 4</t>
  </si>
  <si>
    <t>Carrefour Soja Vanilla 100g &amp;times; 4</t>
  </si>
  <si>
    <t>https://cdn.mafrservices.com/sys-master-root/h8b/h0f/51176136081438/577848_main.jpg?im=Resize=1700</t>
  </si>
  <si>
    <t>المراعي حليب طويل الأجل قليل الدسم 1لتر</t>
  </si>
  <si>
    <t>Almarai UHT Long Life Low Fat Milk 1L</t>
  </si>
  <si>
    <t>https://cdn.mafrservices.com/sys-master-root/h5d/he5/52497964138526/106577_main.jpg?im=Resize=1700</t>
  </si>
  <si>
    <t>كيري مربعات جبنة كريمية قابلة للدهن ، 12 قطعة ، 200جرام</t>
  </si>
  <si>
    <t>Kiri Spreadable Cream Cheese Squares 12 portions 200g</t>
  </si>
  <si>
    <t>https://cdn.mafrservices.com/sys-master-root/h5b/hf4/48440187256862/58615_main.jpg?im=Resize=1700</t>
  </si>
  <si>
    <t>أكتيفيا لبن خفيف 180 مل</t>
  </si>
  <si>
    <t>Activia Light Laban 180ml</t>
  </si>
  <si>
    <t>https://cdn.mafrservices.com/sys-master-root/hfa/h63/26993928536094/453025_main.jpg?im=Resize=1700</t>
  </si>
  <si>
    <t>نادك حليب قليل الدسم 1.75 لتر</t>
  </si>
  <si>
    <t>Nadec Low Fat Milk 1.75L</t>
  </si>
  <si>
    <t>1.75L</t>
  </si>
  <si>
    <t>https://cdn.mafrservices.com/sys-master-root/h83/h95/13984018825246/491465_main.jpg?im=Resize=1700</t>
  </si>
  <si>
    <t>أكتيفيا زبادي خوخ ومشمش 120 جرام</t>
  </si>
  <si>
    <t>Activia Yoghurt Peach &amp;amp; Apricot 120g</t>
  </si>
  <si>
    <t>https://cdn.mafrservices.com/sys-master-root/h39/h2e/9020750725150/458273_main.jpg?im=Resize=1700</t>
  </si>
  <si>
    <t>كارفور كلاسيك جبنة سادة للدهن 150 غرام</t>
  </si>
  <si>
    <t>Carrefour Spread Plain Cheese 150g</t>
  </si>
  <si>
    <t>https://cdn.mafrservices.com/sys-master-root/h09/h64/51176132837406/552737_main.jpg?im=Resize=1700</t>
  </si>
  <si>
    <t>صافيوحليب لتقوية المناعة 185 ملل حزمة من 18</t>
  </si>
  <si>
    <t>Safio Plain Milk 185ml X18</t>
  </si>
  <si>
    <t>185ml x18</t>
  </si>
  <si>
    <t>https://cdn.mafrservices.com/sys-master-root/h37/h49/34789840224286/691462_main.jpg?im=Resize=1700</t>
  </si>
  <si>
    <t>بوك جبن مثلثات 120جرام × 5</t>
  </si>
  <si>
    <t>Puck Cheese Triangle Value Pack 120g &amp;times; 5</t>
  </si>
  <si>
    <t>https://cdn.mafrservices.com/sys-master-root/hd2/h7b/15228566470686/499753_main.jpg?im=Resize=1700</t>
  </si>
  <si>
    <t>أكتيفيا ميكس زبادي 120 جرام</t>
  </si>
  <si>
    <t>Activia Mix  Berry Yoghurt 120g</t>
  </si>
  <si>
    <t>120g</t>
  </si>
  <si>
    <t>https://cdn.mafrservices.com/sys-master-root/h1b/h5e/63473921785886/572683_main.jpg?im=Resize=1700</t>
  </si>
  <si>
    <t>جبنة شيدر برتقال</t>
  </si>
  <si>
    <t>Cheese Orange Cheddar</t>
  </si>
  <si>
    <t>https://cdn.mafrservices.com/sys-master-root/h8d/h0a/51176254537758/704272_main.jpg?im=Resize=1700</t>
  </si>
  <si>
    <t>ندى حليب بالبروتين 320 مل</t>
  </si>
  <si>
    <t>Nada Fresh Plain Protein Milk 320ml</t>
  </si>
  <si>
    <t>https://cdn.mafrservices.com/sys-master-root/h5e/hbc/63513513066526/624554_main.jpg?im=Resize=1700</t>
  </si>
  <si>
    <t>المراعي شرائح الجبن للبرجر 400 جرام × 20 شريحة</t>
  </si>
  <si>
    <t>Almarai Cheese Slices Burger 400g &amp;times; 20 Slices</t>
  </si>
  <si>
    <t>https://cdn.mafrservices.com/sys-master-root/h58/h9b/50520425791518/530364_main.jpg?im=Resize=1700</t>
  </si>
  <si>
    <t>كيري جبنة مربعات بالقشطة قابلة للدهن ، 6 قطع 5x عبوات، 35 قطعة 500 جرام</t>
  </si>
  <si>
    <t>Kiri Spreadable Cream Cheese Squares, 6 portions x 5 packs, 35 portions, 500g</t>
  </si>
  <si>
    <t>https://cdn.mafrservices.com/sys-master-root/hf0/h7e/51308361613342/537782_main.jpg?im=Resize=1700</t>
  </si>
  <si>
    <t>لبنة تركية 410جرام</t>
  </si>
  <si>
    <t>Nada Turkish Labneh 410g</t>
  </si>
  <si>
    <t>https://cdn.mafrservices.com/sys-master-root/h88/h42/10276769333278/613271_main.jpg?im=Resize=1700</t>
  </si>
  <si>
    <t>المراعي زبدة طبيعية غير مملحة 1كج</t>
  </si>
  <si>
    <t>Almarai Natural Butter Unsalted 1kg</t>
  </si>
  <si>
    <t>https://cdn.mafrservices.com/sys-master-root/h36/hfe/50520429395998/550976_main.jpg?im=Resize=1700</t>
  </si>
  <si>
    <t>نادك لبن قليل الدسم 1.75 لتر</t>
  </si>
  <si>
    <t>Nadec Low Fat Laban 1.75L</t>
  </si>
  <si>
    <t>https://cdn.mafrservices.com/sys-master-root/h77/h91/9484968493086/491468_main.jpg?im=Resize=1700</t>
  </si>
  <si>
    <t>زبدة حليب بقر صافي</t>
  </si>
  <si>
    <t>Cow Pure Butter</t>
  </si>
  <si>
    <t>https://cdn.mafrservices.com/sys-master-root/hf9/h79/52426842701854/700222_main.jpg?im=Resize=1700</t>
  </si>
  <si>
    <t>المراعي كريم كراميل 100 جرام × 6</t>
  </si>
  <si>
    <t>Almarai Creme Caramel Dessert 100g Pack of 6</t>
  </si>
  <si>
    <t>100g x6</t>
  </si>
  <si>
    <t>https://cdn.mafrservices.com/sys-master-root/h2c/hf9/12713829302302/544189_main.jpg?im=Resize=1700</t>
  </si>
  <si>
    <t>فرسانا جبن قليل الدسم شرائح 170 جرام × 3</t>
  </si>
  <si>
    <t>Forsana Low Fat Analogue Chees Slice 170g X 3</t>
  </si>
  <si>
    <t>https://cdn.mafrservices.com/sys-master-root/ha9/h87/9136930160670/458332_main.jpg?im=Resize=1700</t>
  </si>
  <si>
    <t>أكتيفيا زبادي بالفراولة 120 جرام</t>
  </si>
  <si>
    <t>Activia Yogurt Strawberry 120g</t>
  </si>
  <si>
    <t>https://cdn.mafrservices.com/sys-master-root/hff/h9f/9020703801374/420586_main.jpg?im=Resize=1700</t>
  </si>
  <si>
    <t>كيري جبنة مربعات قابلة للدهن 18 قطعة 324 غرام</t>
  </si>
  <si>
    <t>Kiri Spreadable Cream Cheese Squares 18 portions 324g</t>
  </si>
  <si>
    <t>293g</t>
  </si>
  <si>
    <t>https://cdn.mafrservices.com/sys-master-root/h83/hfb/48440187486238/58617_main.jpg?im=Resize=1700</t>
  </si>
  <si>
    <t>الصافي حليب طازج كامل الدسم 2.9 لتر</t>
  </si>
  <si>
    <t>Alsafi Full Fat Fresh Milk 2.9L</t>
  </si>
  <si>
    <t>https://cdn.mafrservices.com/sys-master-root/h07/heb/26993933123614/605723_main.jpg?im=Resize=1700</t>
  </si>
  <si>
    <t>ألبرو باريستا حليب اللوز 1لتر</t>
  </si>
  <si>
    <t>Alpro Barista Almond Milk 1L</t>
  </si>
  <si>
    <t>https://cdn.mafrservices.com/sys-master-root/h62/h46/33685670232094/691434_main.jpg?im=Resize=1700</t>
  </si>
  <si>
    <t>الصافي جبنه حلوم 225 غرام</t>
  </si>
  <si>
    <t>Al Safi  Halloumi Cheese  225g</t>
  </si>
  <si>
    <t>United Arab Emirates</t>
  </si>
  <si>
    <t>225g</t>
  </si>
  <si>
    <t>https://cdn.mafrservices.com/sys-master-root/h88/he3/26993933385758/620340_main.jpg?im=Resize=1700</t>
  </si>
  <si>
    <t>كرافت جبنة كريمية القابلة للدهن -عبوة قابلة للضغط 440جرام</t>
  </si>
  <si>
    <t>Kraft Original Squeeze Cream Cheese Spread 440g</t>
  </si>
  <si>
    <t>https://cdn.mafrservices.com/sys-master-root/h09/h29/63885744963614/473121_main.jpg?im=Resize=1700</t>
  </si>
  <si>
    <t>بريزيدن جبنه موزاريلا وإيمنتال450 غرام</t>
  </si>
  <si>
    <t>https://cdn.mafrservices.com/sys-master-root/hce/ha9/10371958243358/522640_main.jpg?im=Resize=1700</t>
  </si>
  <si>
    <t>بوك مربعات جبنه كريمية - 24 قطعة</t>
  </si>
  <si>
    <t>Puck Cream Cheese Squares  24  portions</t>
  </si>
  <si>
    <t>432g</t>
  </si>
  <si>
    <t>https://cdn.mafrservices.com/sys-master-root/h04/hf8/15071865896990/624313_main.jpg?im=Resize=1700</t>
  </si>
  <si>
    <t>بريزيدن سافوري ساندويتش شرائح جبنة شيدر 200 غرام</t>
  </si>
  <si>
    <t>President Sandwich with Cheddar Slice Cheese 200g</t>
  </si>
  <si>
    <t>https://cdn.mafrservices.com/sys-master-root/h9a/hec/10371957260318/278058_main.jpg?im=Resize=1700</t>
  </si>
  <si>
    <t>المراعي جبنة شرائح 200جرام</t>
  </si>
  <si>
    <t>Almarai Fat Free Cheese Slices 200g</t>
  </si>
  <si>
    <t>https://cdn.mafrservices.com/sys-master-root/he6/h9a/50520417697822/346399_main.jpg?im=Resize=1700</t>
  </si>
  <si>
    <t>جبنة شيدر صفراء أيرلندية</t>
  </si>
  <si>
    <t>Cheddar Yellow Irish</t>
  </si>
  <si>
    <t>https://cdn.mafrservices.com/sys-master-root/h3f/h68/51176135589918/572183_main.jpg?im=Resize=1700</t>
  </si>
  <si>
    <t xml:space="preserve">بيض صحة سوبر عشرة طازج - درجة أولى، منتج من دجاج تمت تغذيته على علف نباتي 100٪، عبوة من 10، صناعة سعودية
</t>
  </si>
  <si>
    <t xml:space="preserve">Saha Super Ten Fresh Chicken Eggs - Grade A, 100% Pure Vegetarian-Fed Chickens, Pack of 10, Saudi Made
</t>
  </si>
  <si>
    <t>https://cdn.mafrservices.com/pim-content/SAU/media/product/739456/1736163308/739456_main.jpg?im=Resize=1700</t>
  </si>
  <si>
    <t>المراعي شرائح جبنة 200جرام × 3 + 1 مجاناً</t>
  </si>
  <si>
    <t>Almarai Cheese Slices Burger 200g &amp;times; 3 + 1 Free</t>
  </si>
  <si>
    <t>https://cdn.mafrservices.com/sys-master-root/h33/h2d/10640627466270/562173_main.jpg?im=Resize=1700</t>
  </si>
  <si>
    <t>أكتيفيا لبن قليل الدسم 1.75 لتر</t>
  </si>
  <si>
    <t>Activia Low Fat Laban 1.75L</t>
  </si>
  <si>
    <t>https://cdn.mafrservices.com/sys-master-root/h21/h6f/27108650057758/473429_main.jpg?im=Resize=1700</t>
  </si>
  <si>
    <t>ندى بروتين حليب الفانيليا 320 مل</t>
  </si>
  <si>
    <t>Nada Vanilla Protein Milk 320ml</t>
  </si>
  <si>
    <t>https://cdn.mafrservices.com/sys-master-root/he3/hd7/63513513885726/634501_main.jpg?im=Resize=1700</t>
  </si>
  <si>
    <t>نادك لبن كامل الدسم 180 مل</t>
  </si>
  <si>
    <t>Nadec Laban Full Fat 180ml</t>
  </si>
  <si>
    <t>https://cdn.mafrservices.com/sys-master-root/hc9/hfc/14967249698846/661415_main.jpg?im=Resize=1700</t>
  </si>
  <si>
    <t>نادك زبادي سادة قليل الدسم 2 +1 480 جرام</t>
  </si>
  <si>
    <t>Nadec Grk Yog Plain Lf 2+1 480g</t>
  </si>
  <si>
    <t>https://cdn.mafrservices.com/sys-master-root/hbf/h9b/52303973515294/696699_main.jpg?im=Resize=1700</t>
  </si>
  <si>
    <t>المراعي نجوم حليب بالفانيلا طويل الأجل 150 مل × 18 حبة</t>
  </si>
  <si>
    <t>Almarai Nijoom Milk Vanilla Flavored Long Life 150ml &amp;times; 18 Pieces</t>
  </si>
  <si>
    <t>https://cdn.mafrservices.com/sys-master-root/h7c/hf8/10674677612574/585176_main.jpg?im=Resize=1700</t>
  </si>
  <si>
    <t>جبن فيتا سعودي</t>
  </si>
  <si>
    <t>Feta Saudi Cheese (Per Kg)</t>
  </si>
  <si>
    <t>https://cdn.mafrservices.com/sys-master-root/hdd/h1d/9168807460894/442388_main.jpg?im=Resize=1700</t>
  </si>
  <si>
    <t>بوك جبنة بيضاء 1.1كج</t>
  </si>
  <si>
    <t>Puck White Cream Cheese 1.1kg</t>
  </si>
  <si>
    <t>https://cdn.mafrservices.com/sys-master-root/h25/h2e/15071529271326/238689_main.jpg?im=Resize=1700</t>
  </si>
  <si>
    <t>بوك جبنة إيمنتال شرائح 150 جرام</t>
  </si>
  <si>
    <t>Puck Natural Emmental Cheese Slices 150g</t>
  </si>
  <si>
    <t>https://cdn.mafrservices.com/sys-master-root/h98/h06/63885752074270/553663_main.jpg?im=Resize=1700</t>
  </si>
  <si>
    <t>جبنة ابوالولد جبنة مثلثات  120جرام - 8 مثلثات × 4 عبوات</t>
  </si>
  <si>
    <t>Regal Picon Triangle Cheese 120g &amp;times; 8 Pieces &amp;times; 4 Pack</t>
  </si>
  <si>
    <t>Picon</t>
  </si>
  <si>
    <t>https://cdn.mafrservices.com/sys-master-root/hf1/h47/11242239557662/537783_main.jpg?im=Resize=1700</t>
  </si>
  <si>
    <t>نادك زبادي يوناني سادة 160 جرام</t>
  </si>
  <si>
    <t>Nadec greek Yoghurt Plain 160g</t>
  </si>
  <si>
    <t>https://cdn.mafrservices.com/sys-master-root/hce/h4b/49909751447582/608891_main.jpg?im=Resize=1700</t>
  </si>
  <si>
    <t>أنكور زبدة غير مملحة 180 جرام</t>
  </si>
  <si>
    <t>Anchor Unsalted Butter 180g</t>
  </si>
  <si>
    <t>https://cdn.mafrservices.com/pim-content/SAU/media/product/749778/1746457205/749778_main.jpg?im=Resize=1700</t>
  </si>
  <si>
    <t>جبن شيدر مصري</t>
  </si>
  <si>
    <t>Cheddar Cheese Egypt</t>
  </si>
  <si>
    <t>https://cdn.mafrservices.com/sys-master-root/h2b/h1a/14661725880350/525038_main.jpg?im=Resize=1700</t>
  </si>
  <si>
    <t>كيري مربعات جبنة كريمية قابلة للدهن، 6 قطع ، 108جرام</t>
  </si>
  <si>
    <t>Kiri Cheese 6 Portions 120g</t>
  </si>
  <si>
    <t>https://cdn.mafrservices.com/sys-master-root/h6d/h27/48440189714462/58651_main.jpg?im=Resize=1700</t>
  </si>
  <si>
    <t>لورباك زبدة ناعمة مملحة 200 جرام</t>
  </si>
  <si>
    <t>Lurpak Salted Soft Butter 200g</t>
  </si>
  <si>
    <t>https://cdn.mafrservices.com/sys-master-root/h5e/h84/63885758136350/639448_main.jpg?im=Resize=1700</t>
  </si>
  <si>
    <t>ندى لبن طازج كامل الدسم 3 لتر</t>
  </si>
  <si>
    <t>Nada Fresh Laban Full Fat 3L</t>
  </si>
  <si>
    <t>https://cdn.mafrservices.com/sys-master-root/h37/h87/10222636466206/608731_main.jpg?im=Resize=1700</t>
  </si>
  <si>
    <t>المراعي زبدة  طبيعية غير مملحة 10جرام × 100 قطعة</t>
  </si>
  <si>
    <t>Almarai Unsalted Natural Butter 10g Pack of 100</t>
  </si>
  <si>
    <t>10g x100</t>
  </si>
  <si>
    <t>https://cdn.mafrservices.com/sys-master-root/h12/h4f/10774311993374/550975_main.jpg?im=Resize=1700</t>
  </si>
  <si>
    <t>فالبريسو جبن فيتا فرنسي</t>
  </si>
  <si>
    <t>Valbreso French Feta Cheese</t>
  </si>
  <si>
    <t>https://cdn.mafrservices.com/sys-master-root/hbb/h48/9168806543390/84860_main.jpg?im=Resize=1700</t>
  </si>
  <si>
    <t>بوك كريمة خفق  1 لتر</t>
  </si>
  <si>
    <t>Puck Whipping Cream 1L</t>
  </si>
  <si>
    <t>https://cdn.mafrservices.com/sys-master-root/he3/h45/63885866631198/86143_main.jpg?im=Resize=1700</t>
  </si>
  <si>
    <t>ألبرومشروب الصويا بالفانيليا النباتي 1 لتر</t>
  </si>
  <si>
    <t>Alpro Vanilla Flavour Soya Milk 1L Organic</t>
  </si>
  <si>
    <t>1l</t>
  </si>
  <si>
    <t>https://cdn.mafrservices.com/sys-master-root/h0a/hcc/33685561802782/573654_main.jpg?im=Resize=1700</t>
  </si>
  <si>
    <t>بوك شبيه جبنة كريمية قابلة للدهن 230جرام</t>
  </si>
  <si>
    <t>Puck Cream Analogue Cheese Spread 230g</t>
  </si>
  <si>
    <t>230g</t>
  </si>
  <si>
    <t>https://cdn.mafrservices.com/sys-master-root/h19/h01/63885870202910/87497_main.jpg?im=Resize=1700</t>
  </si>
  <si>
    <t>داري جبنة موزاريلا</t>
  </si>
  <si>
    <t>Dari Mozzarella Cheese</t>
  </si>
  <si>
    <t>https://cdn.mafrservices.com/sys-master-root/h1d/haa/27842996600862/674814_main.jpg?im=Resize=1700</t>
  </si>
  <si>
    <t>فريكو ايدام جبنة طرية</t>
  </si>
  <si>
    <t>Frico Edam Mild Cheese</t>
  </si>
  <si>
    <t>Frico</t>
  </si>
  <si>
    <t>https://cdn.mafrservices.com/sys-master-root/h0f/hf2/51176333344798/84875_main.jpg?im=Resize=1700</t>
  </si>
  <si>
    <t>المراعي لبن عيران  2لتر</t>
  </si>
  <si>
    <t>Almarai Ayran Laban 2L</t>
  </si>
  <si>
    <t>https://cdn.mafrservices.com/sys-master-root/hd3/h2c/50520435523614/589177_main.jpg?im=Resize=1700</t>
  </si>
  <si>
    <t>بوك جبنة كريمية ناعمة 200جرام</t>
  </si>
  <si>
    <t>Puck Soft Cream Cheese 200g</t>
  </si>
  <si>
    <t>https://cdn.mafrservices.com/sys-master-root/h8e/h42/63885866729502/87527_main.jpg?im=Resize=1700</t>
  </si>
  <si>
    <t>نادك شراب لبن عيران 1.75 لتر</t>
  </si>
  <si>
    <t>Nadec Ayran Laban 1.75L</t>
  </si>
  <si>
    <t>https://cdn.mafrservices.com/sys-master-root/h69/hfe/52303972663326/537319_main.jpg?im=Resize=1700</t>
  </si>
  <si>
    <t>جبنة هادجو قشقوان</t>
  </si>
  <si>
    <t>Hadju Orginal Kashkaval Cheese</t>
  </si>
  <si>
    <t>https://cdn.mafrservices.com/sys-master-root/hb8/hc4/14570233462814/119257_main.jpg?im=Resize=1700</t>
  </si>
  <si>
    <t>كرافت جبنة شيدر 230جرام</t>
  </si>
  <si>
    <t>Kraft Cream Cheese Cheddar 230g</t>
  </si>
  <si>
    <t>https://cdn.mafrservices.com/sys-master-root/hd1/ha3/63885739524126/109490_main.jpg?im=Resize=1700</t>
  </si>
  <si>
    <t>المراعي حليب طويل الأمد قليل الدسم 1 لتر × 12</t>
  </si>
  <si>
    <t>Almarai Long Life Low Fat Milk  1L times 12 Pieces</t>
  </si>
  <si>
    <t>1L x12</t>
  </si>
  <si>
    <t>https://cdn.mafrservices.com/sys-master-root/h54/hd4/52497964630046/106575_main.jpg?im=Resize=1700</t>
  </si>
  <si>
    <t>بوك جبن كريمي للدهن بالثوم و الأعشاب الطبيعية 200 غرام</t>
  </si>
  <si>
    <t>Puck Soft Cream Cheese Garlic  Herb Spread 200g</t>
  </si>
  <si>
    <t>https://cdn.mafrservices.com/sys-master-root/h53/h81/63885745422366/484612_main.jpg?im=Resize=1700</t>
  </si>
  <si>
    <t>المراعي حليب خالي الدسم، 1 لتر</t>
  </si>
  <si>
    <t>Almarai Fat Free Milk 1L</t>
  </si>
  <si>
    <t>https://cdn.mafrservices.com/sys-master-root/h4d/hfd/50520424808478/528587_main.jpg?im=Resize=1700</t>
  </si>
  <si>
    <t>بلدي لبنة لبنانية أصلية 450 جرام</t>
  </si>
  <si>
    <t>Balade Lebanese Original Labneh 450g</t>
  </si>
  <si>
    <t>https://cdn.mafrservices.com/pim-content/SAU/media/product/747052/1741244403/747052_main.jpg?im=Resize=1700</t>
  </si>
  <si>
    <t>زبادي نادك 160 جرام × 2 + 1</t>
  </si>
  <si>
    <t>Nadec Plaingreek Yoghurt 160g &amp;times; 2 + 1</t>
  </si>
  <si>
    <t>https://cdn.mafrservices.com/sys-master-root/h31/h87/52303971287070/636022_main.jpg?im=Resize=1700</t>
  </si>
  <si>
    <t xml:space="preserve"> صافيو حليب بالشوكولاتة 185 مل × 18</t>
  </si>
  <si>
    <t>Safio UHT Chocolate Milk 185mlx18</t>
  </si>
  <si>
    <t>https://cdn.mafrservices.com/sys-master-root/h97/h2a/34789841502238/691461_main.jpg?im=Resize=1700</t>
  </si>
  <si>
    <t>المراعي جبن شيدر مطبوخ 454 جرام</t>
  </si>
  <si>
    <t>Almarai Cheddar Processed Cheese 454g</t>
  </si>
  <si>
    <t>454g</t>
  </si>
  <si>
    <t>https://cdn.mafrservices.com/sys-master-root/h2b/h86/10640626941982/332238_main.jpg?im=Resize=1700</t>
  </si>
  <si>
    <t>الصافي زبادي كامل الدسم 170 جرام</t>
  </si>
  <si>
    <t>Alsafi Fresh Yoghurt Full Fat 170g</t>
  </si>
  <si>
    <t>https://cdn.mafrservices.com/sys-master-root/hc4/h0c/26993927323678/399900_main.jpg?im=Resize=1700</t>
  </si>
  <si>
    <t xml:space="preserve"> شبيه جبن اسطنبولي</t>
  </si>
  <si>
    <t>Analogue Istamboly Cheese</t>
  </si>
  <si>
    <t>https://cdn.mafrservices.com/sys-master-root/h78/h04/11892377157662/425173_main.jpg?im=Resize=1700</t>
  </si>
  <si>
    <t>قشطة مصرية طازجة</t>
  </si>
  <si>
    <t>Egyptian Fresh Cream</t>
  </si>
  <si>
    <t>https://cdn.mafrservices.com/sys-master-root/h72/hf7/28797549019166/77643_main.jpg?im=Resize=1700</t>
  </si>
  <si>
    <t>المراعي جبنة شرائح للساندويتش 200جرام × 10 قطع</t>
  </si>
  <si>
    <t>Almarai Cheese Slice Sandwich 200g &amp;times; 10 Pieces</t>
  </si>
  <si>
    <t>https://cdn.mafrservices.com/sys-master-root/h5c/hfb/50520416911390/106545_main.jpg?im=Resize=1700</t>
  </si>
  <si>
    <t>بوك شرائح جبن الشيدر الطبيعي 150 غرام</t>
  </si>
  <si>
    <t>Puck Cheddar Cheese Slice 150g</t>
  </si>
  <si>
    <t>https://cdn.mafrservices.com/sys-master-root/hc6/h21/63885752860702/578035_main.jpg?im=Resize=1700</t>
  </si>
  <si>
    <t>المراعي جبن شيدر 56 جرام × 5 + 1 مجانا</t>
  </si>
  <si>
    <t>Almarai Cheddar Cheese 56g &amp;times; 5 + 1 Free</t>
  </si>
  <si>
    <t>https://cdn.mafrservices.com/sys-master-root/h3a/h0b/10185856385054/555319_main.jpg?im=Resize=1700</t>
  </si>
  <si>
    <t>أكتيفيا زبادي مخفوق كامل الدسم 125 جرام</t>
  </si>
  <si>
    <t>Activia Full Fat Stirred Plain Yogurt 125g</t>
  </si>
  <si>
    <t>125g</t>
  </si>
  <si>
    <t>https://cdn.mafrservices.com/sys-master-root/h78/hdb/10299398094878/198466_main.jpg?im=Resize=1700</t>
  </si>
  <si>
    <t>المراعي جبنة مربعات 6 قطع 108 جرام × 2 + 1 مجاناً</t>
  </si>
  <si>
    <t>Almarai Cream Cheese 6 Portions 108g &amp;times; 2 + 1 Free</t>
  </si>
  <si>
    <t>https://cdn.mafrservices.com/sys-master-root/h5c/h2f/10640623599646/557880_main.jpg?im=Resize=1700</t>
  </si>
  <si>
    <t>المراعي لبن طازج قليل الدسم مع فيتامينات مضافة 180 مل</t>
  </si>
  <si>
    <t>Almarai Low Fat Fresh Laban With Added Vitamins 180ml</t>
  </si>
  <si>
    <t>https://cdn.mafrservices.com/sys-master-root/hea/h42/50520419991582/480630_main.jpg?im=Resize=1700</t>
  </si>
  <si>
    <t>فالبريسو فيتا بطعم الاصلي  200 جرام</t>
  </si>
  <si>
    <t>Valbreso Feta Block Sliced 200g</t>
  </si>
  <si>
    <t>Valbreso</t>
  </si>
  <si>
    <t>https://cdn.mafrservices.com/sys-master-root/hb8/h9b/13148961341470/645373_main.jpg?im=Resize=1700</t>
  </si>
  <si>
    <t>بريزيدن شيدر  مبشور 450 جرام</t>
  </si>
  <si>
    <t>President Shredded Cheddar Cheese 450g</t>
  </si>
  <si>
    <t>https://cdn.mafrservices.com/sys-master-root/h06/h46/14836868939806/645368_main.jpg?im=Resize=1700</t>
  </si>
  <si>
    <t>المراعي شوكولاتة كاسترد 85 جرام ×5 +1 مجانا</t>
  </si>
  <si>
    <t>Almarai Custard Chocolate Dessert 85g X5 +1 Free</t>
  </si>
  <si>
    <t>85gx6</t>
  </si>
  <si>
    <t>https://cdn.mafrservices.com/sys-master-root/h78/h13/9284800086046/606173_main.jpg?im=Resize=1700</t>
  </si>
  <si>
    <t>المراعي زبدة  طبيعية غير مملحة 200جرام</t>
  </si>
  <si>
    <t>Almarai Unsalted Natural Butter 200g</t>
  </si>
  <si>
    <t>https://cdn.mafrservices.com/sys-master-root/h82/hf1/50520429821982/548654_main.jpg?im=Resize=1700</t>
  </si>
  <si>
    <t>المراعي - جبنة مارفيلو الكريمية بالأعشاب 200جرام</t>
  </si>
  <si>
    <t>Al Marai - Marvello Herb Cream Cheese 200g</t>
  </si>
  <si>
    <t>https://cdn.mafrservices.com/sys-master-root/h19/h95/49311361466398/709868_main.jpg?im=Resize=1700</t>
  </si>
  <si>
    <t>الصافي حليب طويل الأجل كامل الدسم 1لتر</t>
  </si>
  <si>
    <t>Al Safi UHT Full Fat Milk 1l</t>
  </si>
  <si>
    <t>https://cdn.mafrservices.com/sys-master-root/h73/hbc/26993924505630/347683_main.jpg?im=Resize=1700</t>
  </si>
  <si>
    <t>فرسانا  (شبيه جبنة) جبن شرائح 170 جرام × 3</t>
  </si>
  <si>
    <t>Forsana Sliced Analogue Chees 170g X 3</t>
  </si>
  <si>
    <t>https://cdn.mafrservices.com/sys-master-root/h23/h5f/9020462956574/458331_main.jpg?im=Resize=1700</t>
  </si>
  <si>
    <t>فرسانا لبنة  1كج</t>
  </si>
  <si>
    <t>Forsana   Labneh 1kg</t>
  </si>
  <si>
    <t>https://cdn.mafrservices.com/sys-master-root/heb/hbe/9020463677470/497921_main.jpg?im=Resize=1700</t>
  </si>
  <si>
    <t>فريكو جبنة إيدام غنية 300 جرام 20 شريحة</t>
  </si>
  <si>
    <t>Frico Rich Edam Cheese Slices 300g</t>
  </si>
  <si>
    <t>300g</t>
  </si>
  <si>
    <t>https://cdn.mafrservices.com/sys-master-root/h16/hc2/13513786720286/656185_main.jpg?im=Resize=1700</t>
  </si>
  <si>
    <t>حليب المراعي قليل الدسم طويل الأجل 200 مل × 18</t>
  </si>
  <si>
    <t>Almarai Milk Low Fat Long Life 200ml &amp;times; 18 Pieces</t>
  </si>
  <si>
    <t>https://cdn.mafrservices.com/sys-master-root/h66/h84/9027207233566/542664_main.jpg?im=Resize=1700</t>
  </si>
  <si>
    <t>الصافي زبادي كامل الدسم 2 كجم</t>
  </si>
  <si>
    <t>Alsafi Fresh Yogurt Full Fat 2kg</t>
  </si>
  <si>
    <t>https://cdn.mafrservices.com/sys-master-root/h50/hd9/26993933680670/642926_main.jpg?im=Resize=1700</t>
  </si>
  <si>
    <t>المراعي كريمة الطبخ 1 لتر × 2</t>
  </si>
  <si>
    <t>Marai Cooking Cream 1L x2</t>
  </si>
  <si>
    <t>1L x2</t>
  </si>
  <si>
    <t>https://cdn.mafrservices.com/sys-master-root/he9/h70/10185852715038/591844_main.jpg?im=Resize=1700</t>
  </si>
  <si>
    <t>المراعي موزاريلا مبشورة لايت 180 جرام</t>
  </si>
  <si>
    <t>Almarai Lite Shredded Mozzarella Cheese 180g</t>
  </si>
  <si>
    <t>https://cdn.mafrservices.com/sys-master-root/h0d/h3f/50681331056670/715023_main.jpg?im=Resize=1700</t>
  </si>
  <si>
    <t>لورباك زبدة مملحة 200جرام</t>
  </si>
  <si>
    <t>Lurpak Butter Salted 200g</t>
  </si>
  <si>
    <t>https://cdn.mafrservices.com/sys-master-root/he2/h21/63885744734238/430623_main.jpg?im=Resize=1700</t>
  </si>
  <si>
    <t>السعودية حليب طويل الأجل  قليل الدسم 200 مل × 24 قطعة</t>
  </si>
  <si>
    <t>Saudia Long Life Low Fat Milk 200ml &amp;times; 24 Pieces</t>
  </si>
  <si>
    <t>https://cdn.mafrservices.com/sys-master-root/h6c/hda/49823126028318/369332_main.jpg?im=Resize=1700</t>
  </si>
  <si>
    <t>أكتيفيا لبن كامل الدسم 180 مل</t>
  </si>
  <si>
    <t>Activia Full Fat Fresh Laban 180ml</t>
  </si>
  <si>
    <t>https://cdn.mafrservices.com/sys-master-root/h4d/hb2/26993924210718/323473_main.jpg?im=Resize=1700</t>
  </si>
  <si>
    <t>أكتيفيا زبادي مانجو 120 جرام</t>
  </si>
  <si>
    <t>Activia Yoghurt Mango 120g</t>
  </si>
  <si>
    <t>https://cdn.mafrservices.com/sys-master-root/h09/h35/9020750921758/458272_main.jpg?im=Resize=1700</t>
  </si>
  <si>
    <t>فيكتوريا جاردن جبن حلومي 250 جرام</t>
  </si>
  <si>
    <t>Victoria Garden Halloumi Cheese Burger 250g</t>
  </si>
  <si>
    <t>https://cdn.mafrservices.com/sys-master-root/h5b/h56/15507724107806/651416_main.jpg?im=Resize=1700</t>
  </si>
  <si>
    <t>كافال قشقوان كامل الدسم</t>
  </si>
  <si>
    <t>Kashkaval Full Fat</t>
  </si>
  <si>
    <t>https://cdn.mafrservices.com/sys-master-root/ha7/h9a/28760408784926/655904_main.jpg?im=Resize=1700</t>
  </si>
  <si>
    <t>جبنة مدخنة مع الأعشاب</t>
  </si>
  <si>
    <t>Smoked Cheese With Herbs</t>
  </si>
  <si>
    <t>https://cdn.mafrservices.com/sys-master-root/h4e/h7a/51176019689502/109599_main.jpg?im=Resize=1700</t>
  </si>
  <si>
    <t>المراعي حلوى كاسترد بالفانيليا 85 جرام ×5 + 1 مجاناً</t>
  </si>
  <si>
    <t>Almarai Custard Vanilla 85g X5 +1 Free</t>
  </si>
  <si>
    <t>https://cdn.mafrservices.com/sys-master-root/h9d/hb5/9122533212190/606172_main.jpg?im=Resize=1700</t>
  </si>
  <si>
    <t>الصافي - زبادي يوناني سادة 150 جرام × 3</t>
  </si>
  <si>
    <t>Al Safi Plain Greek Yogurt 150g x Pack of 3</t>
  </si>
  <si>
    <t>150g x Pack of 3</t>
  </si>
  <si>
    <t>https://cdn.mafrservices.com/sys-master-root/h87/h0f/63938650406942/704710_main.jpg?im=Resize=1700</t>
  </si>
  <si>
    <t>صحة بيض غني بالأوميجا 3 متوسط الحجم × 15بيضة</t>
  </si>
  <si>
    <t>Saha Omega 3 Eggs Medium Feed On Fla&amp;times;seeds 15 Eggs</t>
  </si>
  <si>
    <t>https://cdn.mafrservices.com/sys-master-root/h7e/h6e/11445688762398/624486_main.jpg?im=Resize=1700</t>
  </si>
  <si>
    <t>نادك شبيه الزبدة غير مملحة 500جرام</t>
  </si>
  <si>
    <t>Nadec Analogue Butter, Plastic Can 500g</t>
  </si>
  <si>
    <t>https://cdn.mafrservices.com/pim-content/SAU/media/product/384974/1728984603/384974_main.jpg?im=Resize=1700</t>
  </si>
  <si>
    <t>ندى حليب طويل الأمد بنكهة الفراولة 125 مل × 18 قطعة</t>
  </si>
  <si>
    <t>Nada Milk Long Life Strawberry Flavored 125ml x 18Pieces</t>
  </si>
  <si>
    <t>https://cdn.mafrservices.com/sys-master-root/h01/hc1/14585740034078/517560_main.jpg?im=Resize=1700</t>
  </si>
  <si>
    <t>داري شرائح جبنة حلومي  200 جرام</t>
  </si>
  <si>
    <t>Dari Halloumi Cheese Slices 200g</t>
  </si>
  <si>
    <t>https://cdn.mafrservices.com/sys-master-root/hd9/h98/10371958734878/554835_main.jpg?im=Resize=1700</t>
  </si>
  <si>
    <t>السعودية حليب بنكهة الفانيليا 125 مل × 24</t>
  </si>
  <si>
    <t>Saudia Vanilla Milk 125ml x24</t>
  </si>
  <si>
    <t>125ml x24</t>
  </si>
  <si>
    <t>https://cdn.mafrservices.com/sys-master-root/hca/h5b/49346536177694/699722_main.jpg?im=Resize=1700</t>
  </si>
  <si>
    <t>بريزيدنن فيتا جبنة كاملة الدسم 500 جرام</t>
  </si>
  <si>
    <t>President Feta Cheese Full Fat 500g</t>
  </si>
  <si>
    <t>https://cdn.mafrservices.com/sys-master-root/h6e/h68/12734600675358/650318_main.jpg?im=Resize=1700</t>
  </si>
  <si>
    <t>برايد جبنة  10 شرائح (200 جرام)</t>
  </si>
  <si>
    <t>Pride Burger Melts Cheese Slices 200g</t>
  </si>
  <si>
    <t>Pride</t>
  </si>
  <si>
    <t>https://cdn.mafrservices.com/sys-master-root/h58/h28/13396382580766/8821_main.jpg?im=Resize=1700</t>
  </si>
  <si>
    <t>الصافي حليب طازج كامل الدسم 2لتر</t>
  </si>
  <si>
    <t>Al Safi - Full Fat Milk 2L</t>
  </si>
  <si>
    <t>https://cdn.mafrservices.com/sys-master-root/h7f/h0f/49411317760030/47464_main.jpg?im=Resize=1700</t>
  </si>
  <si>
    <t>فريكو جبنة جودا هولندية خفيفة</t>
  </si>
  <si>
    <t>Frico Gouda Holland Mild</t>
  </si>
  <si>
    <t>https://cdn.mafrservices.com/sys-master-root/he4/h3d/12152538038302/84877_main.jpg?im=Resize=1700</t>
  </si>
  <si>
    <t>بوك كريم خفق 250 جرام</t>
  </si>
  <si>
    <t>Puck Whipped Cream Spray 250g</t>
  </si>
  <si>
    <t>https://cdn.mafrservices.com/sys-master-root/hd1/hb1/63885750861854/528801_main.jpg?im=Resize=1700</t>
  </si>
  <si>
    <t>بلدي لبنة لبنانية قليلة الدسم 450 جرام</t>
  </si>
  <si>
    <t>Balade Lebanese Low Fat Labneh 450g</t>
  </si>
  <si>
    <t>https://cdn.mafrservices.com/pim-content/SAU/media/product/747053/1741244403/747053_main.jpg?im=Resize=1700</t>
  </si>
  <si>
    <t>ندى لبنة تركية 2كج</t>
  </si>
  <si>
    <t>Nada Turkish Labneh 2kg</t>
  </si>
  <si>
    <t>https://cdn.mafrservices.com/sys-master-root/hc8/h24/10222637219870/641977_main.jpg?im=Resize=1700</t>
  </si>
  <si>
    <t>السعودية حليب بنكهة الفراولة طويل الأجل 125مل × 24</t>
  </si>
  <si>
    <t>Saudia Long Life Strawberry Milk 125ml &amp;times; 24</t>
  </si>
  <si>
    <t>https://cdn.mafrservices.com/sys-master-root/h3d/h96/26596820582430/671732_main.jpg?im=Resize=1700</t>
  </si>
  <si>
    <t>إنتريمونت - جبنة إيمنتال الفرنسية</t>
  </si>
  <si>
    <t>Entremont - French Emmental Cheese</t>
  </si>
  <si>
    <t>https://cdn.mafrservices.com/sys-master-root/h28/h72/51176137785374/575145_main.jpg?im=Resize=1700</t>
  </si>
  <si>
    <t>المراعي جبنة شيدر  قابلة للدهن 500جرام × 2</t>
  </si>
  <si>
    <t>Almarai Cheddar Cheese Spread 500g Pack of 2</t>
  </si>
  <si>
    <t>https://cdn.mafrservices.com/sys-master-root/h6f/h09/11115267325982/518421_main.jpg?im=Resize=1700</t>
  </si>
  <si>
    <t>المراعي لبنة  كاملة الدسم على الطريقة التركية 400جرام</t>
  </si>
  <si>
    <t>Almarai Full Fat Premium Labneh 400g</t>
  </si>
  <si>
    <t>https://cdn.mafrservices.com/sys-master-root/h37/h2c/11680196526110/552067_main.jpg?im=Resize=1700</t>
  </si>
  <si>
    <t>إيلي آند فاير إكسلنلس كريمة الطهي 1 لتر</t>
  </si>
  <si>
    <t>Elle &amp;amp; Vire Excellence Cooking Cream 1l</t>
  </si>
  <si>
    <t>Elle&amp;vire</t>
  </si>
  <si>
    <t>https://cdn.mafrservices.com/sys-master-root/h22/h25/9020828254238/6355_main.jpg?im=Resize=1700</t>
  </si>
  <si>
    <t>جبن أزرق دنماركي</t>
  </si>
  <si>
    <t>Danish Blue Cheese</t>
  </si>
  <si>
    <t>https://cdn.mafrservices.com/sys-master-root/hdf/hf8/51176333148190/77570_main.jpg?im=Resize=1700</t>
  </si>
  <si>
    <t>بيبيبل قالب جبنة الأصلي ، 200 جرام</t>
  </si>
  <si>
    <t>Babybel Original Cheese Block, 200g</t>
  </si>
  <si>
    <t>Baby bel</t>
  </si>
  <si>
    <t>https://cdn.mafrservices.com/sys-master-root/h58/h95/9895286341662/627880_main.jpg?im=Resize=1700</t>
  </si>
  <si>
    <t>صباحو مافن دبل تشوكو 60 جرام</t>
  </si>
  <si>
    <t>Sabahoo Double Choco Muffin 60g</t>
  </si>
  <si>
    <t>60g</t>
  </si>
  <si>
    <t>https://cdn.mafrservices.com/pim-content/SAU/media/product/745656/1737531006/745656_main.jpg?im=Resize=1700</t>
  </si>
  <si>
    <t>فريكو جودا نتس 5 × 20 جرام</t>
  </si>
  <si>
    <t>Frico Grab And Go Gouda Cheese Snack 20g Pack of 5</t>
  </si>
  <si>
    <t>20gx5</t>
  </si>
  <si>
    <t>https://cdn.mafrservices.com/sys-master-root/h7c/h14/14953260580894/663699_main.jpg?im=Resize=1700</t>
  </si>
  <si>
    <t>جبنة شيدر بيضاء</t>
  </si>
  <si>
    <t>White Cheddar Cheese</t>
  </si>
  <si>
    <t>https://cdn.mafrservices.com/pim-content/SAU/media/product/704273/1746457205/704273_main.jpg?im=Resize=1700</t>
  </si>
  <si>
    <t>بوك شرائح جبن غودا طبيعي 150 غرام</t>
  </si>
  <si>
    <t>Puck Gouda Cheese Slices 150g</t>
  </si>
  <si>
    <t>https://cdn.mafrservices.com/sys-master-root/ha0/h4e/63885751681054/553665_main.jpg?im=Resize=1700</t>
  </si>
  <si>
    <t>بوك جبنه كريمية قليلة الدسم  للدهن 500 غرام</t>
  </si>
  <si>
    <t>Puck Cream Cheese Low Fat Spread Jar 500g</t>
  </si>
  <si>
    <t>https://cdn.mafrservices.com/sys-master-root/h9e/h80/63885758005278/609934_main.jpg?im=Resize=1700</t>
  </si>
  <si>
    <t>نادك حليب خالي الدسم طويل الأجل 1لتر × 12</t>
  </si>
  <si>
    <t>Nadec Long Life Skimmed Milk 1L &amp;times; 12 Pieces</t>
  </si>
  <si>
    <t>https://cdn.mafrservices.com/sys-master-root/h96/h61/9463094968350/53210_main.jpg?im=Resize=1700</t>
  </si>
  <si>
    <t>الربيع زين حليب بالشوكولاتة 125 مل × 18</t>
  </si>
  <si>
    <t>Al Rabie Zain Chocolate Milk 125ml x Pack of 18</t>
  </si>
  <si>
    <t>Al rabie</t>
  </si>
  <si>
    <t>https://cdn.mafrservices.com/pim-content/SAU/media/product/646027/1721311204/646027_main.jpg?im=Resize=1700</t>
  </si>
  <si>
    <t>المراعي - جبنة مارفيلو الكريمية 200جرام</t>
  </si>
  <si>
    <t>Al Marai - Marvello Cream Cheese 200g</t>
  </si>
  <si>
    <t>https://cdn.mafrservices.com/sys-master-root/hb2/hfb/49311360548894/709867_main.jpg?im=Resize=1700</t>
  </si>
  <si>
    <t>نادك جبنة شرائح شيدر 200 جرام</t>
  </si>
  <si>
    <t>Nadec Cheese Sliced Cheddadfdr 200g</t>
  </si>
  <si>
    <t>https://cdn.mafrservices.com/pim-content/SAU/media/product/574463/1739179803/574463_main.jpg?im=Resize=1700</t>
  </si>
  <si>
    <t>الصافي جبنه قشقوان 350 غرام</t>
  </si>
  <si>
    <t>Al Safi  Kashkaval Cheese  350g</t>
  </si>
  <si>
    <t>350g</t>
  </si>
  <si>
    <t>https://cdn.mafrservices.com/sys-master-root/h36/he4/26993933320222/620342_main.jpg?im=Resize=1700</t>
  </si>
  <si>
    <t>بوك جبنة فيتا مكعبات فاخرة 200 جرام</t>
  </si>
  <si>
    <t>Puck Premium Cubed Feta Cheese 200 g</t>
  </si>
  <si>
    <t>200 g</t>
  </si>
  <si>
    <t>https://cdn.mafrservices.com/sys-master-root/h41/h06/63885752041502/573618_main.jpg?im=Resize=1700</t>
  </si>
  <si>
    <t>برايد زبدة غير مملحة 100جرام</t>
  </si>
  <si>
    <t>Pride Unsalted Butter 100g</t>
  </si>
  <si>
    <t>https://cdn.mafrservices.com/sys-master-root/h28/h91/13148961013790/639773_main.jpg?im=Resize=1700</t>
  </si>
  <si>
    <t>داري جبنة حلوم  225 جرام</t>
  </si>
  <si>
    <t>Dari Halloumi Cheese 225g</t>
  </si>
  <si>
    <t>https://cdn.mafrservices.com/sys-master-root/h47/hb0/10371958079518/553705_main.jpg?im=Resize=1700</t>
  </si>
  <si>
    <t>السعودية حليب كامل الدسم طويل الأجل 125 مل × 8</t>
  </si>
  <si>
    <t>Saudia Long Life Full Fat Milk 125ml &amp;times;8</t>
  </si>
  <si>
    <t>https://cdn.mafrservices.com/sys-master-root/h9c/h41/11010571468830/614806_main.jpg?im=Resize=1700</t>
  </si>
  <si>
    <t>المراعي زبادي بالفراولة 140 جرام</t>
  </si>
  <si>
    <t>Almarai Vetal Layered Fruit Yoghurt Strawberry 140g</t>
  </si>
  <si>
    <t>https://cdn.mafrservices.com/sys-master-root/hc3/h3b/50520419762206/441537_main.jpg?im=Resize=1700</t>
  </si>
  <si>
    <t>نادك لبن كامل الدسم 800 مل</t>
  </si>
  <si>
    <t>Nadec Full Fat Laban 800ml</t>
  </si>
  <si>
    <t>https://cdn.mafrservices.com/sys-master-root/h82/h37/12778278518814/491472_main.jpg?im=Resize=1700</t>
  </si>
  <si>
    <t>الصافي لبن طازج كامل الدسم 2.9 لتر</t>
  </si>
  <si>
    <t>Alsafi Full Fat Fresh Laban 2.9L</t>
  </si>
  <si>
    <t>https://cdn.mafrservices.com/sys-master-root/h7d/hc6/26993932927006/605724_main.jpg?im=Resize=1700</t>
  </si>
  <si>
    <t>كرافت جبنة قابلة للدهن الأصلية - عبوة قابلة للضغط 790جرام</t>
  </si>
  <si>
    <t>Kraft Original Squeeze Cream Cheese Spread 790g</t>
  </si>
  <si>
    <t>https://cdn.mafrservices.com/sys-master-root/hbb/hf1/63885746602014/507996_main.jpg?im=Resize=1700</t>
  </si>
  <si>
    <t>المراعي لبن طازج كامل الدسم مع إضافة فيتامينات 360 مل</t>
  </si>
  <si>
    <t>Almarai Full Fat Fresh Laban With Added Vitamins 360ml</t>
  </si>
  <si>
    <t>360ml</t>
  </si>
  <si>
    <t>https://cdn.mafrservices.com/sys-master-root/h4e/h90/50520423727134/505750_main.jpg?im=Resize=1700</t>
  </si>
  <si>
    <t>نادك شبيه جبنة شيدر قابل للدهن 500 جرام ×2</t>
  </si>
  <si>
    <t>Nadec Analogue Cheddar Cheese Spread 500g x2</t>
  </si>
  <si>
    <t>https://cdn.mafrservices.com/sys-master-root/hff/hb6/27445426192414/433379_main.jpg?im=Resize=1700</t>
  </si>
  <si>
    <t>نادك زبادي طازج قليل الدسم 170 جرام</t>
  </si>
  <si>
    <t>Nadec Fresh Yoghurt Low Fat 170g</t>
  </si>
  <si>
    <t>https://cdn.mafrservices.com/sys-master-root/hfe/h2d/9323310514206/406298_main.jpg?im=Resize=1700</t>
  </si>
  <si>
    <t>المراعي جبنة  شرائح شيدر 200 جرام × 3 +1 مجاناً</t>
  </si>
  <si>
    <t>Almarai Cheddar Cheese Slices 200g Pack of 4</t>
  </si>
  <si>
    <t>200gx4</t>
  </si>
  <si>
    <t>https://cdn.mafrservices.com/sys-master-root/hde/h91/10640624353310/600992_main.jpg?im=Resize=1700</t>
  </si>
  <si>
    <t>نادك جبنة ابيض 450 جرام+ 200 جم</t>
  </si>
  <si>
    <t>Nadec Feta White Cheese 450g+ 200g</t>
  </si>
  <si>
    <t>https://cdn.mafrservices.com/sys-master-root/h5d/h9c/12271090925598/511119_main.jpg?im=Resize=1700</t>
  </si>
  <si>
    <t>المراعي زبادي كامل الدسم 170 جرام</t>
  </si>
  <si>
    <t>Almarai Full Cream Fresh Yogurt 170g</t>
  </si>
  <si>
    <t>https://cdn.mafrservices.com/sys-master-root/h9b/h94/50520425988126/532548_main.jpg?im=Resize=1700</t>
  </si>
  <si>
    <t>داري - جبنة موزاريلا مبشورة معالجة 450 جرام</t>
  </si>
  <si>
    <t>Dari - Shredded Mozzarella Cheese Analogue 450g</t>
  </si>
  <si>
    <t>https://cdn.mafrservices.com/sys-master-root/h53/h59/11514589773854/553703_main.jpg?im=Resize=1700</t>
  </si>
  <si>
    <t>أكتيفيا زبادي لايت توت مشكل 120 جرام</t>
  </si>
  <si>
    <t>Activia Stirred Yoghurt Low Fat Mixed Berries 120g</t>
  </si>
  <si>
    <t>https://cdn.mafrservices.com/sys-master-root/hf2/h32/9027104833566/552089_main.jpg?im=Resize=1700</t>
  </si>
  <si>
    <t>ليدانا زبدة مخلوطة غير مملحة</t>
  </si>
  <si>
    <t>Ledana Unsalted Butter Saudi (Per KG)</t>
  </si>
  <si>
    <t>https://cdn.mafrservices.com/sys-master-root/h14/h9b/9881923256350/624740_main.jpg?im=Resize=1700</t>
  </si>
  <si>
    <t>الجود لبنة تركية</t>
  </si>
  <si>
    <t>Al Joud Labneh Turkey</t>
  </si>
  <si>
    <t>https://cdn.mafrservices.com/sys-master-root/h72/haf/9881923846174/558957_main.jpg?im=Resize=1700</t>
  </si>
  <si>
    <t>صافيو زبادي معزز للمناعة بنكهة الفراولة 110 جرام حزمة من 4</t>
  </si>
  <si>
    <t>Safio Immunity Booster Strawberry Flavoured Yoghurt 110g Pack of 4</t>
  </si>
  <si>
    <t>https://cdn.mafrservices.com/sys-master-root/h87/hda/63422650417182/690894_main.jpg?im=Resize=1700</t>
  </si>
  <si>
    <t>ندى لبنة تركية 200جرام</t>
  </si>
  <si>
    <t>Nada Turkish Labneh 200g</t>
  </si>
  <si>
    <t>https://cdn.mafrservices.com/sys-master-root/hdf/h42/10276769300510/613270_main.jpg?im=Resize=1700</t>
  </si>
  <si>
    <t>المراعي حليب البروتين (34جرام) بطعم القهوة 400جرام</t>
  </si>
  <si>
    <t>Al Marai Protein Milk (34g) Coffee Flavor 400ml</t>
  </si>
  <si>
    <t>https://cdn.mafrservices.com/sys-master-root/hde/h8b/63513596624926/734496_main.jpg?im=Resize=1700</t>
  </si>
  <si>
    <t>جبن رومي بالكمون</t>
  </si>
  <si>
    <t>Cheese Rommy With  Cumin</t>
  </si>
  <si>
    <t>https://cdn.mafrservices.com/pim-content/SAU/media/product/688682/1752647264/688682_main.jpg?im=Resize=1700</t>
  </si>
  <si>
    <t>بوك جبنة مربعات×12</t>
  </si>
  <si>
    <t>Puck Cream Cheese Squares - 12 portions</t>
  </si>
  <si>
    <t>216g</t>
  </si>
  <si>
    <t>https://cdn.mafrservices.com/sys-master-root/hce/h2e/63885757710366/624312_main.jpg?im=Resize=1700</t>
  </si>
  <si>
    <t>بلدي فارمز - حليب الكفير 225 مل</t>
  </si>
  <si>
    <t>Balade Farms - Kefir Milk 225ml</t>
  </si>
  <si>
    <t>225ml</t>
  </si>
  <si>
    <t>https://cdn.mafrservices.com/pim-content/SAU/media/product/740361/1725978604/740361_main.jpg?im=Resize=1700</t>
  </si>
  <si>
    <t>المراعي لبن بنكهة الفراولة 340 مل</t>
  </si>
  <si>
    <t>Almarai Flavored Laban Strawberry 340ml</t>
  </si>
  <si>
    <t>https://cdn.mafrservices.com/sys-master-root/h7f/h1c/50520422449182/485383_main.jpg?im=Resize=1700</t>
  </si>
  <si>
    <t>نادك جبنة فيتا بيضاء قليلة الدسم 450 جرام</t>
  </si>
  <si>
    <t>Nadec Feta Cheese White Low Fat 450g</t>
  </si>
  <si>
    <t>https://cdn.mafrservices.com/sys-master-root/h3c/h84/49997903790110/588070_main.jpg?im=Resize=1700</t>
  </si>
  <si>
    <t>كيري  جبنة كريمية قابلة للدهن 600جرام</t>
  </si>
  <si>
    <t>Kiri Al Jarra Fresh Cream Cheese 600 g</t>
  </si>
  <si>
    <t>Morocco</t>
  </si>
  <si>
    <t>600g</t>
  </si>
  <si>
    <t>https://cdn.mafrservices.com/sys-master-root/h22/h49/13205287370782/332723_main.jpg?im=Resize=1700</t>
  </si>
  <si>
    <t>شبيه جبنة فيتا مصرية</t>
  </si>
  <si>
    <t>Analogue Feta Cheese Egypt</t>
  </si>
  <si>
    <t>https://cdn.mafrservices.com/sys-master-root/h2a/hd7/12665031753758/77573_main.jpg?im=Resize=1700</t>
  </si>
  <si>
    <t>لونا جبنة ابيض 500جرام × 2</t>
  </si>
  <si>
    <t>Luna White Cream Cheese 500g &amp;times;2</t>
  </si>
  <si>
    <t>Luna</t>
  </si>
  <si>
    <t>https://cdn.mafrservices.com/sys-master-root/he5/hd9/15086300135454/466897_main.jpg?im=Resize=1700</t>
  </si>
  <si>
    <t>الفيلق بيض 15 بيضة</t>
  </si>
  <si>
    <t>Alfailaq Eggs 15 Pieces</t>
  </si>
  <si>
    <t>ALFAILAQ ALTHAHABI</t>
  </si>
  <si>
    <t>https://cdn.mafrservices.com/sys-master-root/h3c/he2/13231483944990/547482_main.jpg?im=Resize=1700</t>
  </si>
  <si>
    <t>أكتيفا - مشروب كفير 850 مل</t>
  </si>
  <si>
    <t>Activia - Kefir Drink 850ml</t>
  </si>
  <si>
    <t>850ml</t>
  </si>
  <si>
    <t>https://cdn.mafrservices.com/pim-content/SAU/media/product/750570/1749022205/750570_main.jpg?im=Resize=1700</t>
  </si>
  <si>
    <t>ندى لبنة يونانية – غنية بالبروتين، سلسة وكريمية – 410 جرام</t>
  </si>
  <si>
    <t>Nada Greek Labneh &amp;ndash; Rich in Protein, Smooth &amp;amp; Creamy &amp;ndash; 410g</t>
  </si>
  <si>
    <t>410g</t>
  </si>
  <si>
    <t>https://cdn.mafrservices.com/pim-content/SAU/media/product/751774/1752656339/751774_main.jpg?im=Resize=1700</t>
  </si>
  <si>
    <t>ندى بروتين حليب بالفراولة 320 مل</t>
  </si>
  <si>
    <t>Nada Strawberry Protein Milk 320ml</t>
  </si>
  <si>
    <t>https://cdn.mafrservices.com/sys-master-root/h99/h09/63513511460894/624556_main.jpg?im=Resize=1700</t>
  </si>
  <si>
    <t>جبنة إسكندراني معتقة - مصر</t>
  </si>
  <si>
    <t>Old Scandrani Egypt Cheese</t>
  </si>
  <si>
    <t>https://cdn.mafrservices.com/sys-master-root/hf2/h55/11892376895518/584258_main.jpg?im=Resize=1700</t>
  </si>
  <si>
    <t>المراعي حليب طازج كامل الدسم مع إضافة فيتامينات 180 مل</t>
  </si>
  <si>
    <t>Almarai Full Fat Fresh Milk With Added Vitamins 180ml</t>
  </si>
  <si>
    <t>https://cdn.mafrservices.com/sys-master-root/he8/h1c/50520422481950/480631_main.jpg?im=Resize=1700</t>
  </si>
  <si>
    <t>أكتيفيا لبن طازج منزوع الدسم 1.75 لتر</t>
  </si>
  <si>
    <t>Activia Fat Free Fresh Laban 1.75L</t>
  </si>
  <si>
    <t>https://cdn.mafrservices.com/pim-content/SAU/media/product/748333/1745412003/748333_main.jpg?im=Resize=1700</t>
  </si>
  <si>
    <t>المراعي زبادي خالي من الدسم 170 جرام</t>
  </si>
  <si>
    <t>Almarai Skimmed Fresh Yoghurt 170g</t>
  </si>
  <si>
    <t>https://cdn.mafrservices.com/sys-master-root/had/h90/50520417992734/357351_main.jpg?im=Resize=1700</t>
  </si>
  <si>
    <t>كرافت جبنة  شرائح لايت 400 جرام</t>
  </si>
  <si>
    <t>Kraft Light Cheese Slices 400g</t>
  </si>
  <si>
    <t>https://cdn.mafrservices.com/sys-master-root/h8e/he1/63885738049566/109482_main.jpg?im=Resize=1700</t>
  </si>
  <si>
    <t>دانيت حلى بطعم الحلوى القطنية 75 جرام ×7 + 1 مجاناً</t>
  </si>
  <si>
    <t>Danette Cotton Candy Pudding 75g X 7 1 Free</t>
  </si>
  <si>
    <t>https://cdn.mafrservices.com/sys-master-root/h0c/h2e/11218213863454/610718_main.jpg?im=Resize=1700</t>
  </si>
  <si>
    <t>بوك شرائح جبن الموزاريلا الطبيعي 150 غرام</t>
  </si>
  <si>
    <t>Puck Natural Mozzarella Cheese Slices 150g</t>
  </si>
  <si>
    <t>https://cdn.mafrservices.com/sys-master-root/h3a/h48/63885751844894/553664_main.jpg?im=Resize=1700</t>
  </si>
  <si>
    <t>صحة بيض غني بالوتين وزياكسانثين × 30 بضة</t>
  </si>
  <si>
    <t>Saha Lutein Eggs &amp;times;30</t>
  </si>
  <si>
    <t>https://cdn.mafrservices.com/sys-master-root/hff/hea/14953259008030/663477_main.jpg?im=Resize=1700</t>
  </si>
  <si>
    <t>بوك جبنة كريمية مطبوخة قابلة للدهن 400 جرام</t>
  </si>
  <si>
    <t>Puck Cream Cheese Squeeze Spread 400g</t>
  </si>
  <si>
    <t>https://cdn.mafrservices.com/sys-master-root/h61/h4f/63885751615518/535618_main.jpg?im=Resize=1700</t>
  </si>
  <si>
    <t>المراعي جبن شيدر قليل الدسم 454 جرام</t>
  </si>
  <si>
    <t>Almarai Low Fat Processed Cheddar Cheese 454g</t>
  </si>
  <si>
    <t>https://cdn.mafrservices.com/sys-master-root/h36/h92/10640624386078/341389_main.jpg?im=Resize=1700</t>
  </si>
  <si>
    <t>السعودية حليب طويل الأجل كامل الدسم العلامة الذهبية 1لتر</t>
  </si>
  <si>
    <t>Saudiagolden Taste Long Life Full Fat Milk 1L</t>
  </si>
  <si>
    <t>https://cdn.mafrservices.com/sys-master-root/he9/h93/50229095661598/475111_main.jpg?im=Resize=1700</t>
  </si>
  <si>
    <t>المراعي حليب طازج كامل الدسم 500 مل</t>
  </si>
  <si>
    <t>Almarai Full Fat Fresh Milk 500ml</t>
  </si>
  <si>
    <t>https://cdn.mafrservices.com/sys-master-root/hf3/hf0/50520416387102/106477_main.jpg?im=Resize=1700</t>
  </si>
  <si>
    <t>أسترا جبن عكاوي</t>
  </si>
  <si>
    <t>Astra Akawi Cheese</t>
  </si>
  <si>
    <t>https://cdn.mafrservices.com/sys-master-root/hf8/hd3/9197821362206/77577_main.jpg?im=Resize=1700</t>
  </si>
  <si>
    <t>بوك جبن كريمي للدهن بالزيتون الطبيعي 200 غرام</t>
  </si>
  <si>
    <t>Puck Cream Cheese Olives 200g</t>
  </si>
  <si>
    <t>https://cdn.mafrservices.com/sys-master-root/hbf/h1c/15071868125214/628256_main.jpg?im=Resize=1700</t>
  </si>
  <si>
    <t>ألبرو مشروب الصويا النباتي غير محلى 1 لتر</t>
  </si>
  <si>
    <t>Alpro Unsweetened Soya Milk 1L</t>
  </si>
  <si>
    <t>https://cdn.mafrservices.com/sys-master-root/h63/he1/33685562163230/573656_main.jpg?im=Resize=1700</t>
  </si>
  <si>
    <t>المراعي جبنة شيدر شرائح  200جرام × 10 قطع</t>
  </si>
  <si>
    <t>Almarai Cheddar Cheese Slices 200g</t>
  </si>
  <si>
    <t>https://cdn.mafrservices.com/sys-master-root/h6a/h82/50520423301150/513830_main.jpg?im=Resize=1700</t>
  </si>
  <si>
    <t xml:space="preserve">السعودية حليب بنكهة حلاوة القطن – 200 مل × (15 + 3 مجاناً)
</t>
  </si>
  <si>
    <t>Saudia Cotton Candy Flavored Milk &amp;ndash; 200ml &amp;times; (15 + 3 Free)</t>
  </si>
  <si>
    <t>https://cdn.mafrservices.com/pim-content/SAU/media/product/751866/1753184124/751866_main.jpg?im=Resize=1700</t>
  </si>
  <si>
    <t>فود تشويس جبن حلوم 250 جرام</t>
  </si>
  <si>
    <t>Food Choice halloumi cheese 250g</t>
  </si>
  <si>
    <t>250 g</t>
  </si>
  <si>
    <t>https://cdn.mafrservices.com/sys-master-root/h6f/h86/49588608368670/683827_main.jpg?im=Resize=1700</t>
  </si>
  <si>
    <t>السعودية حليب خالي الدسم طويل الأجل  1لتر</t>
  </si>
  <si>
    <t>Saudia Long Life Skimmed Milk 1L</t>
  </si>
  <si>
    <t>https://cdn.mafrservices.com/sys-master-root/h08/h15/49823128879134/77048_main.jpg?im=Resize=1700</t>
  </si>
  <si>
    <t>المراعي لبن بنكهة المانجو 180 مل</t>
  </si>
  <si>
    <t>Almarai Flavored Laban Mango 180ml</t>
  </si>
  <si>
    <t>https://cdn.mafrservices.com/sys-master-root/h43/h29/50520430903326/572704_main.jpg?im=Resize=1700</t>
  </si>
  <si>
    <t>كرافت جبن شيدر 100جرام</t>
  </si>
  <si>
    <t>Kraft Processed Cheddar Cheese 100g</t>
  </si>
  <si>
    <t>https://cdn.mafrservices.com/sys-master-root/hb3/hdd/63885746044958/516845_main.jpg?im=Resize=1700</t>
  </si>
  <si>
    <t>نادك شبيه جبنة فيتا 250جرام</t>
  </si>
  <si>
    <t>Nadec Analogue Feta Cheese 250g</t>
  </si>
  <si>
    <t>https://cdn.mafrservices.com/sys-master-root/hfc/hba/14836888338462/655772_main.jpg?im=Resize=1700</t>
  </si>
  <si>
    <t>أكتيفيا زبادي مخفوق لايت 125 جرام</t>
  </si>
  <si>
    <t>Activia Stirred Yoghurt Plain Light 125g</t>
  </si>
  <si>
    <t>https://cdn.mafrservices.com/sys-master-root/h5c/h1f/9027002171422/561246_main.jpg?im=Resize=1700</t>
  </si>
  <si>
    <t>المراعي لبن طازج كامل الدسم 1.4 لتر</t>
  </si>
  <si>
    <t>Almarai Fresh Laban Full Fat 1.4L</t>
  </si>
  <si>
    <t>1.4L</t>
  </si>
  <si>
    <t>https://cdn.mafrservices.com/sys-master-root/h96/hd8/50520602771486/691495_main.jpg?im=Resize=1700</t>
  </si>
  <si>
    <t>جبنة جرانا بادانو إيطالية</t>
  </si>
  <si>
    <t>Italian Grana Padano Cheese</t>
  </si>
  <si>
    <t>https://cdn.mafrservices.com/sys-master-root/h84/h84/14661724831774/517426_main.jpg?im=Resize=1700</t>
  </si>
  <si>
    <t>المراعي جبنة شرائح شيدر 400جرام × 20 شريحة</t>
  </si>
  <si>
    <t>Almarai Cheese Slices Cheddar 400g &amp;times; 20 Slices</t>
  </si>
  <si>
    <t>https://cdn.mafrservices.com/sys-master-root/hc0/h9e/50520425693214/530363_main.jpg?im=Resize=1700</t>
  </si>
  <si>
    <t>المراعي قشطة 200 جرام</t>
  </si>
  <si>
    <t>Almarai Sour Cream 200g</t>
  </si>
  <si>
    <t>https://cdn.mafrservices.com/sys-master-root/hd9/h66/11671576674334/491450_main.jpg?im=Resize=1700</t>
  </si>
  <si>
    <t>نادك جبنة شيدر 400جرام</t>
  </si>
  <si>
    <t>Nadec Sliced Cheddar Cheese 400g</t>
  </si>
  <si>
    <t>https://cdn.mafrservices.com/pim-content/SAU/media/product/674806/1739179803/674806_main.jpg?im=Resize=1700</t>
  </si>
  <si>
    <t>الصافي حليب طازج كامل الدسم 1.5 لتر</t>
  </si>
  <si>
    <t>Alsafi Full Fat Fresh Milk 1.5L</t>
  </si>
  <si>
    <t>https://cdn.mafrservices.com/sys-master-root/h1f/hb2/26993932337182/550816_main.jpg?im=Resize=1700</t>
  </si>
  <si>
    <t>فرسانا  (شبيه جبنة)موزاريلا مبشورة 200 جرام × 3</t>
  </si>
  <si>
    <t>Forsana Shredded Analogue Chees  Mozarella 200g X 3</t>
  </si>
  <si>
    <t>https://cdn.mafrservices.com/sys-master-root/hb9/h8a/9136930095134/425167_main.jpg?im=Resize=1700</t>
  </si>
  <si>
    <t>بريزيدن - لبنة تركية 180 جرام</t>
  </si>
  <si>
    <t>President Turkish Labneh 180g</t>
  </si>
  <si>
    <t>180 g</t>
  </si>
  <si>
    <t>https://cdn.mafrservices.com/sys-master-root/h25/haa/10371958210590/396375_main.jpg?im=Resize=1700</t>
  </si>
  <si>
    <t>بوك تكس مكس جبنة شيدار وموزاريلا مبشورة 180جرام</t>
  </si>
  <si>
    <t>Puck TexMex Mozzarella And Cheddar Shredded Cheese Mix 180g</t>
  </si>
  <si>
    <t>https://cdn.mafrservices.com/sys-master-root/h7a/he0/63885762363422/690253_main.jpg?im=Resize=1700</t>
  </si>
  <si>
    <t>المراعي حليب غني بالشوكولاتة 200 مل × 18</t>
  </si>
  <si>
    <t>Almarai Double Chocolate Milk  200ml &amp;times; 18</t>
  </si>
  <si>
    <t>https://cdn.mafrservices.com/sys-master-root/h1b/hc7/13698603483166/528584_main.jpg?im=Resize=1700</t>
  </si>
  <si>
    <t>أسترا موزاريلا</t>
  </si>
  <si>
    <t>Astra Mozzarella</t>
  </si>
  <si>
    <t>https://cdn.mafrservices.com/pim-content/SAU/media/product/747078/1744034403/747078_main.jpg?im=Resize=1700</t>
  </si>
  <si>
    <t>فالبريسو فيتا لايت 200 جرام</t>
  </si>
  <si>
    <t>Valbreso Feta Light 200g</t>
  </si>
  <si>
    <t>https://cdn.mafrservices.com/sys-master-root/heb/hc2/12294788710430/645374_main.jpg?im=Resize=1700</t>
  </si>
  <si>
    <t>أكتيفيا لبن قليل الدسم 850 مل</t>
  </si>
  <si>
    <t>Activia Low Fat Laban 850ml</t>
  </si>
  <si>
    <t>https://cdn.mafrservices.com/sys-master-root/h3b/h60/26993928405022/453027_main.jpg?im=Resize=1700</t>
  </si>
  <si>
    <t>بوك جبنة كريمية أصلية 300جرام</t>
  </si>
  <si>
    <t>Puck Cream Cheese Natural Spread 300g</t>
  </si>
  <si>
    <t>https://cdn.mafrservices.com/sys-master-root/h81/h1d/63885760823326/676435_main.jpg?im=Resize=1700</t>
  </si>
  <si>
    <t>برايد  (شبيه جبنة)  شيدر 1 كجم</t>
  </si>
  <si>
    <t>Pride Analogue Cheddar Cheese Block 1 Kg</t>
  </si>
  <si>
    <t>https://cdn.mafrservices.com/sys-master-root/hc6/h95/9226099589150/8832_main.jpg?im=Resize=1700</t>
  </si>
  <si>
    <t>المراعي حليب باريستا طويل الأجل، كامل الدسم 1لتر</t>
  </si>
  <si>
    <t>Al Marai UHT Full Fat Barista Milk 1L</t>
  </si>
  <si>
    <t>https://cdn.mafrservices.com/sys-master-root/h47/hbf/63513593217054/728435_main.jpg?im=Resize=1700</t>
  </si>
  <si>
    <t>يوبرو حليب فانيليا بروتين 300 مل</t>
  </si>
  <si>
    <t>Yopro Protein Vanilla Milk 300ml</t>
  </si>
  <si>
    <t>300ml</t>
  </si>
  <si>
    <t>https://cdn.mafrservices.com/pim-content/SAU/media/product/748989/1745500204/748989_main.jpg?im=Resize=1700</t>
  </si>
  <si>
    <t>الأبقار الثلاث جبنة ابيض قليلة الدسم 500 جرام</t>
  </si>
  <si>
    <t>The Three Cows White Cheese Low Fat 500g</t>
  </si>
  <si>
    <t>https://cdn.mafrservices.com/sys-master-root/h7b/hc9/63885742047262/194814_main.jpg?im=Resize=1700</t>
  </si>
  <si>
    <t>كي دي دي زبدة 100 جرام</t>
  </si>
  <si>
    <t>KDD Butter 100g</t>
  </si>
  <si>
    <t>https://cdn.mafrservices.com/pim-content/SAU/media/product/751669/1751787004/751669_main.jpg?im=Resize=1700</t>
  </si>
  <si>
    <t>المراعي زبدة طبيعية مملحة 200 جرام</t>
  </si>
  <si>
    <t>Almarai Natural Butter Salted 200g</t>
  </si>
  <si>
    <t>https://cdn.mafrservices.com/sys-master-root/hc9/h22/50520430739486/557882_main.jpg?im=Resize=1700</t>
  </si>
  <si>
    <t>الصافي لبن طازج كامل الدسم 1.5 لتر</t>
  </si>
  <si>
    <t>Alsafi Full Fat Fresh Laban 1.5L</t>
  </si>
  <si>
    <t>https://cdn.mafrservices.com/sys-master-root/h57/h4e/27586422571038/550814_main.jpg?im=Resize=1700</t>
  </si>
  <si>
    <t>المراعي جبن شيدر مطبوخ قابل للدهن 900جرام × 2</t>
  </si>
  <si>
    <t>Almarai Processed Cheddar Cheese 900g Pack of 2</t>
  </si>
  <si>
    <t>https://cdn.mafrservices.com/sys-master-root/hab/hab/10810658684958/518418_main.jpg?im=Resize=1700</t>
  </si>
  <si>
    <t>برايد موزاريلا مبشورة 500 جرام</t>
  </si>
  <si>
    <t>Pride Shredded Mozzarella 500g</t>
  </si>
  <si>
    <t>https://cdn.mafrservices.com/sys-master-root/hca/hbc/14686155931678/8842_main.jpg?im=Resize=1700</t>
  </si>
  <si>
    <t>نادك حليب طازج كامل الدسم 800 مل</t>
  </si>
  <si>
    <t>Nadec Fresh Milk Full Fat 800ml</t>
  </si>
  <si>
    <t>https://cdn.mafrservices.com/sys-master-root/hff/h97/9323311530014/491469_main.jpg?im=Resize=1700</t>
  </si>
  <si>
    <t>المراعي لبن طازج قليل الدسم 1 لتر</t>
  </si>
  <si>
    <t>Almarai Low Fat Fresh Laban 1L</t>
  </si>
  <si>
    <t>https://cdn.mafrservices.com/sys-master-root/hc7/ha5/16847336046622/106464_main.jpg?im=Resize=1700</t>
  </si>
  <si>
    <t>ندى زبادي كامل الدسم 170 جرام × 5 قطع + 1 مجاناً</t>
  </si>
  <si>
    <t>Nada Full Fat Yogurt 170g &amp;times; 5 Pieces + 1 Free</t>
  </si>
  <si>
    <t>https://cdn.mafrservices.com/sys-master-root/h90/h82/9020861317150/134983_main.jpg?im=Resize=1700</t>
  </si>
  <si>
    <t>جبنة فيتا مجرية</t>
  </si>
  <si>
    <t>Hungarian Feta Cheese</t>
  </si>
  <si>
    <t>https://cdn.mafrservices.com/sys-master-root/h9a/h24/9168807657502/84857_main.jpg?im=Resize=1700</t>
  </si>
  <si>
    <t>المراعي - جبنة موزاريلا مبشورة 900 جرام</t>
  </si>
  <si>
    <t>Almarai - Mozarela Shreded Chese 900g</t>
  </si>
  <si>
    <t>https://cdn.mafrservices.com/sys-master-root/h82/h1c/50520605949982/700571_main.jpg?im=Resize=1700</t>
  </si>
  <si>
    <t>نادك حليب طويل الأجل من حليب الأبقار 100% خالي الدسم 1 لتر</t>
  </si>
  <si>
    <t>Nadec Long Life Milk From 100% Fresh Cow&amp;#39;s Milk, Skimmed 1L</t>
  </si>
  <si>
    <t>https://cdn.mafrservices.com/pim-content/SAU/media/product/53211/1731931804/53211_main.jpg?im=Resize=1700</t>
  </si>
  <si>
    <t>زانيتي بيكورينو جبن رومانو 160 جرام</t>
  </si>
  <si>
    <t>Zanetti Pecorino Romano Cheese 160g</t>
  </si>
  <si>
    <t>Zanetti</t>
  </si>
  <si>
    <t>https://cdn.mafrservices.com/sys-master-root/h85/ha7/12779166695454/651728_main.jpg?im=Resize=1700</t>
  </si>
  <si>
    <t>بوك جبنة موزاريلا وقشقوان مبشورة 400جرام</t>
  </si>
  <si>
    <t>Puck Mozzarella Kashkaval 400g</t>
  </si>
  <si>
    <t>https://cdn.mafrservices.com/sys-master-root/hf4/hdb/63885864304670/713740_main.jpg?im=Resize=1700</t>
  </si>
  <si>
    <t>السعودية حليب طويل الأجل قليل الدسم  1لتر</t>
  </si>
  <si>
    <t>Saudia Long Life Low Fat Milk 1L</t>
  </si>
  <si>
    <t>https://cdn.mafrservices.com/sys-master-root/h11/h71/49823129468958/77052_main.jpg?im=Resize=1700</t>
  </si>
  <si>
    <t>مازولا زبدة نباتية 500جرام</t>
  </si>
  <si>
    <t>Mazola Margarine 500g</t>
  </si>
  <si>
    <t>Mazola</t>
  </si>
  <si>
    <t>https://cdn.mafrservices.com/sys-master-root/h03/h44/10071412998174/95419_main.jpg?im=Resize=1700</t>
  </si>
  <si>
    <t>فالبريسو جبنة فيتا فرنسية 600 جرام</t>
  </si>
  <si>
    <t>Valbreso French Feta  Cheese 600g</t>
  </si>
  <si>
    <t>https://cdn.mafrservices.com/sys-master-root/hce/h5a/12301472890910/645372_main.jpg?im=Resize=1700</t>
  </si>
  <si>
    <t>بريزيدنت جبنة مربعات، عبوة 24 قطعة، 336 جرام</t>
  </si>
  <si>
    <t>PRESIDENT Squares Cheese, Pack of 24, 336g</t>
  </si>
  <si>
    <t>336g</t>
  </si>
  <si>
    <t>https://cdn.mafrservices.com/pim-content/SAU/media/product/742735/1736666092/742735_main.png?im=Resize=1700</t>
  </si>
  <si>
    <t>البقرات الثلاث( شبية جبة)  موزاريلا مبشور 180 جرام</t>
  </si>
  <si>
    <t>The Three Cows Shredded Mozzarella Cheese (Analogue)180g</t>
  </si>
  <si>
    <t>https://cdn.mafrservices.com/sys-master-root/hf8/hfc/63885746995230/51805_main.jpg?im=Resize=1700</t>
  </si>
  <si>
    <t>المراعي لبنة  كاملة الدسم 2.75كج</t>
  </si>
  <si>
    <t>Almarai Premium Labneh Full Fat 2.75kg</t>
  </si>
  <si>
    <t>https://cdn.mafrservices.com/sys-master-root/h8c/h1a/14967247208478/653805_main.jpg?im=Resize=1700</t>
  </si>
  <si>
    <t>البقرة الضاحكة (شبيه) جبنة مثلثات الاصلية، قابلة للدهن ، عبوة من 32 قطعة × 2 ، 64 قطعة ، 960</t>
  </si>
  <si>
    <t>La vache qui rit Original Spreadable Cheese Triangles,pack of 32 Portions x 2, 64 portions (Analogue), 960g</t>
  </si>
  <si>
    <t>https://cdn.mafrservices.com/sys-master-root/h6e/hc7/13205288976414/466105_main.jpg?im=Resize=1700</t>
  </si>
  <si>
    <t>المراعي جبن شيدر كامل الدسم 113جرام × 5 + 1 مجاناً</t>
  </si>
  <si>
    <t>Almarai Full Fat Cheddar Cheese 113g &amp;times; 5 + 1 Free</t>
  </si>
  <si>
    <t>https://cdn.mafrservices.com/sys-master-root/h56/h84/10674678923294/442841_main.jpg?im=Resize=1700</t>
  </si>
  <si>
    <t>كي دي دي حليب بنكهة الشوكولاتة 125 مل × 18</t>
  </si>
  <si>
    <t>Kdd Choco Flavoured Milk 125ml &amp;times;18</t>
  </si>
  <si>
    <t>https://cdn.mafrservices.com/sys-master-root/hd8/h56/14184898363422/647643_main.jpg?im=Resize=1700</t>
  </si>
  <si>
    <t>ندى زبادي كامل الدسم 380 جرام</t>
  </si>
  <si>
    <t>Nada Yogurt Full Fat 380g</t>
  </si>
  <si>
    <t>https://cdn.mafrservices.com/sys-master-root/h24/h17/12608855474206/60554_main.jpg?im=Resize=1700</t>
  </si>
  <si>
    <t>الصافي زبادي يوناني سادة 150 جرام</t>
  </si>
  <si>
    <t>Alsafi Greek Yogurt Plain 150g</t>
  </si>
  <si>
    <t>https://cdn.mafrservices.com/sys-master-root/ha9/h77/50124144377886/698821_main.jpg?im=Resize=1700</t>
  </si>
  <si>
    <t>المراعي نجوم حليب بطعم الموز طويل الأجل 150 مل × 18 حبة</t>
  </si>
  <si>
    <t>Almarai Nijoom Milk Banana Flavored  Long Life 150ml &amp;times; 18 Pieces</t>
  </si>
  <si>
    <t>https://cdn.mafrservices.com/sys-master-root/h8e/h8e/10674678628382/585178_main.jpg?im=Resize=1700</t>
  </si>
  <si>
    <t>اكتيميل مشروب ألبان بغذاء ملكات النحل والخوخ 93 مل × 4</t>
  </si>
  <si>
    <t>Actimel Dairy Drink, Royal Jelly &amp;amp; Peach 93ml x4</t>
  </si>
  <si>
    <t>Actimel</t>
  </si>
  <si>
    <t>93ml x4</t>
  </si>
  <si>
    <t>https://cdn.mafrservices.com/sys-master-root/hf6/h32/64122679623710/726719_main.jpg?im=Resize=1700</t>
  </si>
  <si>
    <t>المراعي جبنة مربعات 108جرام - 6 قطع</t>
  </si>
  <si>
    <t>Almarai Cream Cheese 108g &amp;times; 6 Pieces</t>
  </si>
  <si>
    <t>https://cdn.mafrservices.com/sys-master-root/h01/h7f/50520423202846/483611_main.jpg?im=Resize=1700</t>
  </si>
  <si>
    <t>برايد برجر شرائح جبنة 20 شريحة (400 جرام)</t>
  </si>
  <si>
    <t>Pride Burger Slice Cheese 20 Slices (400g)</t>
  </si>
  <si>
    <t>https://cdn.mafrservices.com/sys-master-root/hbb/he1/12935535034398/8822_main.jpg?im=Resize=1700</t>
  </si>
  <si>
    <t>ألبرو حليب صويا بنكهة الشوكولاتة 1لتر (عضوي)</t>
  </si>
  <si>
    <t>Alpro Chocolate Flavour Soya Milk 1L (Organic)</t>
  </si>
  <si>
    <t>https://cdn.mafrservices.com/sys-master-root/h2b/hbf/33685561475102/573655_main.jpg?im=Resize=1700</t>
  </si>
  <si>
    <t>شبيه جبنة فيتا مصرية مع فلفل</t>
  </si>
  <si>
    <t>Egyptian Feta Cheese With Pepper (By Kilo)</t>
  </si>
  <si>
    <t>https://cdn.mafrservices.com/sys-master-root/h66/h96/27009396473886/676170_main.jpg?im=Resize=1700</t>
  </si>
  <si>
    <t>نادك حليب  بنكهة الشوكولاتة 185 مل 18</t>
  </si>
  <si>
    <t>Nadec Flavoured Milk Chocolate 185 ml 18</t>
  </si>
  <si>
    <t>https://cdn.mafrservices.com/sys-master-root/hbd/h50/51343285321758/632505_main.jpg?im=Resize=1700</t>
  </si>
  <si>
    <t>بلدي لبنة خالية من اللاكتوز 450 جرام</t>
  </si>
  <si>
    <t>Balade Lactofree Labneh 450g</t>
  </si>
  <si>
    <t>https://cdn.mafrservices.com/pim-content/SAU/media/product/747057/1741244403/747057_main.jpg?im=Resize=1700</t>
  </si>
  <si>
    <t>داري لبنة تركية 180جرام</t>
  </si>
  <si>
    <t>Dari Turkish Labneh 180g</t>
  </si>
  <si>
    <t>https://cdn.mafrservices.com/sys-master-root/h67/hf7/14787582754846/576899_main.jpg?im=Resize=1700</t>
  </si>
  <si>
    <t>نادك جبنة قشقوان 350 جرام</t>
  </si>
  <si>
    <t>Nadec Kashkaval Cheese 350g</t>
  </si>
  <si>
    <t>https://cdn.mafrservices.com/pim-content/SAU/media/product/743122/1750953603/743122_main.jpg?im=Resize=1700</t>
  </si>
  <si>
    <t>فريكو شرائح جبن مسعود  150 جرام</t>
  </si>
  <si>
    <t>Frico Original Maasdam Cheese Slices 150g</t>
  </si>
  <si>
    <t>https://cdn.mafrservices.com/sys-master-root/hc9/h08/13513770860574/145447_main.jpg?im=Resize=1700</t>
  </si>
  <si>
    <t>لبنة جرشية</t>
  </si>
  <si>
    <t>Labneh Jarashea (Per Kg)</t>
  </si>
  <si>
    <t>https://cdn.mafrservices.com/sys-master-root/hdf/hf1/63026591531038/540237_main.jpg?im=Resize=1700</t>
  </si>
  <si>
    <t>نادك جبنة شرائح للسندويتش 400 جرام</t>
  </si>
  <si>
    <t>Nadec Sandwich Slice Cheese 400g</t>
  </si>
  <si>
    <t>400 g</t>
  </si>
  <si>
    <t>https://cdn.mafrservices.com/pim-content/SAU/media/product/674805/1739179803/674805_main.jpg?im=Resize=1700</t>
  </si>
  <si>
    <t>بوك جبن قليل الدسم 240 جرام</t>
  </si>
  <si>
    <t>Puck Cream Cheese Low Fat Spread Jar 240g</t>
  </si>
  <si>
    <t>240g</t>
  </si>
  <si>
    <t>https://cdn.mafrservices.com/sys-master-root/haa/h2a/15071855902750/609935_main.jpg?im=Resize=1700</t>
  </si>
  <si>
    <t>فرسانا زبدة غير مملحة 1كج</t>
  </si>
  <si>
    <t>Forsana Unsalted Butter 1kg</t>
  </si>
  <si>
    <t>https://cdn.mafrservices.com/sys-master-root/h8c/hd9/9320594014238/127791_main.jpg?im=Resize=1700</t>
  </si>
  <si>
    <t>ندى قشطة 200 جرام</t>
  </si>
  <si>
    <t>Nada Sour Cream 200g</t>
  </si>
  <si>
    <t>https://cdn.mafrservices.com/sys-master-root/h50/h65/12942517665822/60559_main.jpg?im=Resize=1700</t>
  </si>
  <si>
    <t>بوك جبنة شيدر وموزاريلا مبشورة 180جرام</t>
  </si>
  <si>
    <t>Puck Shredded Cheddar &amp;amp; Mozzarella 180g</t>
  </si>
  <si>
    <t>https://cdn.mafrservices.com/sys-master-root/hbe/h7a/63885753384990/600283_main.jpg?im=Resize=1700</t>
  </si>
  <si>
    <t>جبنة عكاوي قليلة الملح</t>
  </si>
  <si>
    <t>Ghaneya Akawi Cheese Low Salt (Per Kg)</t>
  </si>
  <si>
    <t>https://cdn.mafrservices.com/sys-master-root/hce/h71/11892376043550/591618_main.jpg?im=Resize=1700</t>
  </si>
  <si>
    <t>بارميجيانو بارميزانيتالي</t>
  </si>
  <si>
    <t>Parmigiano Parmesanitaly</t>
  </si>
  <si>
    <t>https://cdn.mafrservices.com/sys-master-root/hef/hcc/61776215179294/365524_main.jpg?im=Resize=1700</t>
  </si>
  <si>
    <t>يوبرو حليب شوكولاتة بروتين 300 مل</t>
  </si>
  <si>
    <t>Yopro Protein Chocolate Milk 300ml</t>
  </si>
  <si>
    <t>https://cdn.mafrservices.com/pim-content/SAU/media/product/748988/1745500204/748988_main.jpg?im=Resize=1700</t>
  </si>
  <si>
    <t>آرلا حليب عضوي قليل الدسم  1لتر</t>
  </si>
  <si>
    <t>Arla Organic Immune Lf Milk 1L</t>
  </si>
  <si>
    <t>Arla</t>
  </si>
  <si>
    <t>https://cdn.mafrservices.com/sys-master-root/h45/hfa/63885759807518/662537_main.jpg?im=Resize=1700</t>
  </si>
  <si>
    <t>بريزيدن شرائح جبنة خفيفة ولذيذة 400 جرام 20 شريحة</t>
  </si>
  <si>
    <t>Almarai Protein Milk Vanilla 400ml &amp;ndash; 34g Protein &amp;ndash; Fat Free &amp;ndash; No Added Sugar</t>
  </si>
  <si>
    <t>https://cdn.mafrservices.com/sys-master-root/h77/ha9/10371958276126/522641_main.jpg?im=Resize=1700</t>
  </si>
  <si>
    <t>برستيج جبن كاممبرت 125 جرام</t>
  </si>
  <si>
    <t>President Slices Light &amp;amp; Tasty Cheese 400g20 Slices</t>
  </si>
  <si>
    <t>https://cdn.mafrservices.com/sys-master-root/h98/ha9/12935531888670/651737_main.jpg?im=Resize=1700</t>
  </si>
  <si>
    <t>بوك شبيه جبنة كريم قابلة للدهن 900جرام</t>
  </si>
  <si>
    <t>Prestige Camembert Cheese 125g</t>
  </si>
  <si>
    <t>https://cdn.mafrservices.com/sys-master-root/h56/h79/63885868040222/87500_main.jpg?im=Resize=1700</t>
  </si>
  <si>
    <t>فرسانا  (شبيه جبنة) جبنة موزاريلا 200 جرام 3</t>
  </si>
  <si>
    <t>Puck Analogue Cheese Cream Spread 900g</t>
  </si>
  <si>
    <t>https://cdn.mafrservices.com/sys-master-root/h58/hf8/63026591367198/225881_main.jpg?im=Resize=1700</t>
  </si>
  <si>
    <t>المراعي زبادي بالكرز الأسود 140 جرام</t>
  </si>
  <si>
    <t>Forsana Analogue Chees Mozzarella Block 200g 3</t>
  </si>
  <si>
    <t>https://cdn.mafrservices.com/sys-master-root/hb7/h26/50520422744094/483010_main.jpg?im=Resize=1700</t>
  </si>
  <si>
    <t>المراعي حليب طويل الأجل خالي من الدسم 1 لتر × 12 قطعة</t>
  </si>
  <si>
    <t>Almarai Vetal Layered Fruit Yoghurt Black Cherry 140g</t>
  </si>
  <si>
    <t>https://cdn.mafrservices.com/sys-master-root/h2c/h35/10674679185438/528589_main.jpg?im=Resize=1700</t>
  </si>
  <si>
    <t>الصافي حليب كامل الدسم 1لتر × 12 قطعة</t>
  </si>
  <si>
    <t>Almarai Long Life Fat Free Milk 1L &amp;times; 12 Pieces</t>
  </si>
  <si>
    <t>https://cdn.mafrservices.com/sys-master-root/hb8/hbe/27174544932894/47470_main.jpg?im=Resize=1700</t>
  </si>
  <si>
    <t>برايد جبنة  10 شرائح 200 جرام</t>
  </si>
  <si>
    <t>Alsafi Long Life Full Fat Milk 1L &amp;times; 12 Pieces</t>
  </si>
  <si>
    <t>https://cdn.mafrservices.com/sys-master-root/hf7/hc5/9886652825630/8823_main.jpg?im=Resize=1700</t>
  </si>
  <si>
    <t>دانا جبنة زرقاء 100 جرام</t>
  </si>
  <si>
    <t>Pride Sandwich Sensation Cheese Slices 200g</t>
  </si>
  <si>
    <t>Dana</t>
  </si>
  <si>
    <t>https://cdn.mafrservices.com/sys-master-root/ha5/h95/12935528808478/543890_main.jpg?im=Resize=1700</t>
  </si>
  <si>
    <t>كي دي دي حليب طويل الأجل كامل الدسم 1لتر × 12</t>
  </si>
  <si>
    <t>Dana Blue Cheese 100g</t>
  </si>
  <si>
    <t>https://cdn.mafrservices.com/sys-master-root/h31/hb7/14953132326942/283599_main.jpg?im=Resize=1700</t>
  </si>
  <si>
    <t>المراعي لبن عيران 180 مل</t>
  </si>
  <si>
    <t>Kdd Long Life Full Fat Milk 1L &amp;times; 12</t>
  </si>
  <si>
    <t>https://cdn.mafrservices.com/sys-master-root/h6c/h3c/50520434573342/589176_main.jpg?im=Resize=1700</t>
  </si>
  <si>
    <t>برايد لايت، جبنة شرائح قليلة الدسم  200 جرام</t>
  </si>
  <si>
    <t>Almarai Ayran Laban 180ml</t>
  </si>
  <si>
    <t>https://cdn.mafrservices.com/sys-master-root/h7b/hfe/49864022884382/8826_main.jpg?im=Resize=1700</t>
  </si>
  <si>
    <t>زاد المدينة جبن ماعز طازج عضوي 100 جرام</t>
  </si>
  <si>
    <t>Pride Light And Tasty Cheese Slices 200g</t>
  </si>
  <si>
    <t>Zad</t>
  </si>
  <si>
    <t>https://cdn.mafrservices.com/pim-content/SAU/media/product/751651/1750953603/751651_main.jpg?im=Resize=1700</t>
  </si>
  <si>
    <t>المراعي كريم كراميل 100 جرام</t>
  </si>
  <si>
    <t>Zad Madinah Organic Fresh Goat Cheese 100g</t>
  </si>
  <si>
    <t>https://cdn.mafrservices.com/sys-master-root/h99/h7b/50520423104542/505752_main.jpg?im=Resize=1700</t>
  </si>
  <si>
    <t>البقرة الضاحكة جبنة مثلثات الاصلية قابلة للدهن ، 24 قطعة ، 360جرام</t>
  </si>
  <si>
    <t>Almarai Caramel Cream 100g</t>
  </si>
  <si>
    <t>360g</t>
  </si>
  <si>
    <t>https://cdn.mafrservices.com/sys-master-root/h2d/h84/13222302318622/58646_main.jpg?im=Resize=1700</t>
  </si>
  <si>
    <t>نادك كريمة طازجة 100 جرام</t>
  </si>
  <si>
    <t>La Vache qui rit Original Spreadable Cheese Triangles 360g</t>
  </si>
  <si>
    <t>https://cdn.mafrservices.com/pim-content/SAU/media/product/53575/1739179803/53575_main.jpg?im=Resize=1700</t>
  </si>
  <si>
    <t>دانيت بودينج الشوكولاتة 75 جرام</t>
  </si>
  <si>
    <t>Nadec Fresh Cream 100g</t>
  </si>
  <si>
    <t>https://cdn.mafrservices.com/sys-master-root/h92/hca/26993929453598/505058_main.jpg?im=Resize=1700</t>
  </si>
  <si>
    <t>بريزيدن جبنة مثلثات 120جرام × 8 قطع</t>
  </si>
  <si>
    <t>Danette Chocolate Pudding Dessert 75g</t>
  </si>
  <si>
    <t>https://cdn.mafrservices.com/sys-master-root/hce/h3e/12784615358494/51792_main.jpg?im=Resize=1700</t>
  </si>
  <si>
    <t>الربيع  زين حليب  بالفراولة 125 مل × 18</t>
  </si>
  <si>
    <t>President Triangle Cheese 120g</t>
  </si>
  <si>
    <t>https://cdn.mafrservices.com/pim-content/SAU/media/product/646026/1721311204/646026_main.jpg?im=Resize=1700</t>
  </si>
  <si>
    <t>المراعي جبنة مربعات 432جرام × 24 قطعة</t>
  </si>
  <si>
    <t>Al Rabie Zain Strawberry Milk 125ml x Pack of 18</t>
  </si>
  <si>
    <t>https://cdn.mafrservices.com/sys-master-root/he0/hac/50520420745246/483615_main.jpg?im=Resize=1700</t>
  </si>
  <si>
    <t>السعودية حليب قليل الدسم طويل الأجل 2لتر</t>
  </si>
  <si>
    <t>Almarai Cream Cheese 432g &amp;times; 24 Pieces</t>
  </si>
  <si>
    <t>https://cdn.mafrservices.com/sys-master-root/he7/h90/50229195538462/578016_main.jpg?im=Resize=1700</t>
  </si>
  <si>
    <t>جبنة شيدر برتقالية إنجليزيية</t>
  </si>
  <si>
    <t>Saudia Long Life Low Fat Milk 2l</t>
  </si>
  <si>
    <t>https://cdn.mafrservices.com/sys-master-root/h76/he7/52754867978270/575143_main.jpg?im=Resize=1700</t>
  </si>
  <si>
    <t>نادك شبيه جبنة موزاريلا مبشورة 500 جرام</t>
  </si>
  <si>
    <t>English Cheddar Orange Cheese</t>
  </si>
  <si>
    <t>https://cdn.mafrservices.com/sys-master-root/h51/hba/9933775503390/593373_main.jpg?im=Resize=1700</t>
  </si>
  <si>
    <t>بلدي فارمز - جبنة حلوم خالية من اللاكتوز 250 جرام</t>
  </si>
  <si>
    <t>Nadec Analogue Shredded Mozzarella Cheese 500g</t>
  </si>
  <si>
    <t>https://cdn.mafrservices.com/pim-content/SAU/media/product/740336/1726575003/740336_main.jpg?im=Resize=1700</t>
  </si>
  <si>
    <t>بوك شبنة تكسمكس مبشورة 400جرام</t>
  </si>
  <si>
    <t>Balade Farms - Lactos Free Halloumi Cheese 250g</t>
  </si>
  <si>
    <t>https://cdn.mafrservices.com/sys-master-root/h12/h87/63885863944222/713739_main.jpg?im=Resize=1700</t>
  </si>
  <si>
    <t>نادك حليب بالموز 125 مل × 18</t>
  </si>
  <si>
    <t>Puck Texmex Shredded Mozzarella Cheese 400g</t>
  </si>
  <si>
    <t>https://cdn.mafrservices.com/pim-content/SAU/media/product/661768/1736861403/661768_main.jpg?im=Resize=1700</t>
  </si>
  <si>
    <t>المراعي جبنة كريمية مطبوخة 200 جرام</t>
  </si>
  <si>
    <t>Nadec Uht Banana Milk 125ml &amp;times;18</t>
  </si>
  <si>
    <t>https://cdn.mafrservices.com/sys-master-root/h0f/h20/50520427069470/564734_main.jpg?im=Resize=1700</t>
  </si>
  <si>
    <t>الربيع حليب كامل الدسم 1لتر × 8</t>
  </si>
  <si>
    <t>Almarai Processed Cream Cheese 200g</t>
  </si>
  <si>
    <t>https://cdn.mafrservices.com/sys-master-root/h57/h79/11868143058974/117488_main.jpg?im=Resize=1700</t>
  </si>
  <si>
    <t>المراعي حلوى كاسترد 85 جرام</t>
  </si>
  <si>
    <t>Alrabie Long Life Full Fat Milk 1L &amp;times; 8</t>
  </si>
  <si>
    <t>85g</t>
  </si>
  <si>
    <t>https://cdn.mafrservices.com/sys-master-root/h2b/h98/50520583798814/606170_main.jpg?im=Resize=1700</t>
  </si>
  <si>
    <t>لبنة غنم أسترا محلية</t>
  </si>
  <si>
    <t>Almarai Vanilla Custard 85g</t>
  </si>
  <si>
    <t>https://cdn.mafrservices.com/sys-master-root/h2d/hc5/14686154358814/77576_main.jpg?im=Resize=1700</t>
  </si>
  <si>
    <t>فرسان (شبيه جبنة) جبن شيدر 200 جرام</t>
  </si>
  <si>
    <t>Labneh Sheep Astra Local</t>
  </si>
  <si>
    <t>https://cdn.mafrservices.com/sys-master-root/h45/h62/9463094902814/497819_main.jpg?im=Resize=1700</t>
  </si>
  <si>
    <t>نادك لبن طازج قليل الدسم 180 مل</t>
  </si>
  <si>
    <t>Forsana Analogue Chees Cheddar Shredded 200g</t>
  </si>
  <si>
    <t>https://cdn.mafrservices.com/sys-master-root/hd2/h22/14624798670878/661416_main.jpg?im=Resize=1700</t>
  </si>
  <si>
    <t>بوك قطع جبنه بيضاء مع الثوم والبقدونس 200 غرام</t>
  </si>
  <si>
    <t>Nadec Fresh Laban Low-Fat 180ml</t>
  </si>
  <si>
    <t>https://cdn.mafrservices.com/pim-content/SAU/media/product/737997/1721556003/737997_main.jpg?im=Resize=1700</t>
  </si>
  <si>
    <t>المراعي جبن شيدر قابل للدهن 500جرام</t>
  </si>
  <si>
    <t>Puck  Cubed White Cheese, With Garlic  Parsley, Greek Style, With Drainer, 200g</t>
  </si>
  <si>
    <t>https://cdn.mafrservices.com/sys-master-root/h87/h2d/50520422940702/485953_main.jpg?im=Resize=1700</t>
  </si>
  <si>
    <t>بريزيدن فيتا  جبنة كاملة الدسم  250 جرام</t>
  </si>
  <si>
    <t>Almarai Spreadable Cheddar Cheese 500g</t>
  </si>
  <si>
    <t>https://cdn.mafrservices.com/sys-master-root/h30/h69/12734600609822/650319_main.jpg?im=Resize=1700</t>
  </si>
  <si>
    <t>أكتيفيا زبادي فراولة لايت 120 جرام</t>
  </si>
  <si>
    <t>President Feta Cheese Full Fat 250g</t>
  </si>
  <si>
    <t>https://cdn.mafrservices.com/sys-master-root/hb7/h8f/9027194388510/536706_main.jpg?im=Resize=1700</t>
  </si>
  <si>
    <t>بوك صلصة الجبن الأربعة 500 مل</t>
  </si>
  <si>
    <t>Activia Low Fat Strawberry Stirred Yoghurt 120g</t>
  </si>
  <si>
    <t>https://cdn.mafrservices.com/sys-master-root/h5c/h21/63885752827934/600281_main.jpg?im=Resize=1700</t>
  </si>
  <si>
    <t>بوك شبيه جبنة موزاريلا مبشورة 180جرام</t>
  </si>
  <si>
    <t>Puck Four Cheese Sauce 500ml</t>
  </si>
  <si>
    <t>https://cdn.mafrservices.com/sys-master-root/h4e/h02/63885870104606/87533_main.jpg?im=Resize=1700</t>
  </si>
  <si>
    <t>برايد مكعبات جبنة شيدر قليلة الدسم 500 جرام</t>
  </si>
  <si>
    <t>Puck Shredded Analogue Mozzarella Cheese 180g</t>
  </si>
  <si>
    <t>https://cdn.mafrservices.com/sys-master-root/h7b/h63/14686156488734/8835_main.jpg?im=Resize=1700</t>
  </si>
  <si>
    <t>نادك لبنة نادك كاملة الدسم 200جرام × 2</t>
  </si>
  <si>
    <t>Pride, Light Cheddar Cheese Block, Low Fat 500g</t>
  </si>
  <si>
    <t>https://cdn.mafrservices.com/sys-master-root/hf2/h6f/14836852981790/636020_main.jpg?im=Resize=1700</t>
  </si>
  <si>
    <t>ألبرو حليب الصويا الأصلي 1لتر (عضوي)</t>
  </si>
  <si>
    <t>Nadec Labneh Full Fat 200g &amp;times;2</t>
  </si>
  <si>
    <t>https://cdn.mafrservices.com/sys-master-root/hcc/he4/33685562064926/573653_main.jpg?im=Resize=1700</t>
  </si>
  <si>
    <t>لونا قالب شبيه جبنة شيدر 500جرام</t>
  </si>
  <si>
    <t>Alpro Soya Drink Original 1l</t>
  </si>
  <si>
    <t>https://cdn.mafrservices.com/sys-master-root/hf1/hae/26719911313438/664410_main.jpg?im=Resize=1700</t>
  </si>
  <si>
    <t>ندى زبادي يوناني كريمي بزيادة 160 جرام</t>
  </si>
  <si>
    <t>Luna Analogue Cheddar Cheese Block 500g</t>
  </si>
  <si>
    <t>https://cdn.mafrservices.com/sys-master-root/h7f/h7e/63513591742494/729616_main.jpg?im=Resize=1700</t>
  </si>
  <si>
    <t>جبنة براميلي طبيعية مع فلفل</t>
  </si>
  <si>
    <t>Nada Greek Yoghurt Extra Creamy 160g</t>
  </si>
  <si>
    <t>https://cdn.mafrservices.com/sys-master-root/h90/h49/44453088788510/686666_main.jpg?im=Resize=1700</t>
  </si>
  <si>
    <t>بريزيدن زبدة مملحة 100 جرام</t>
  </si>
  <si>
    <t>Bramili Natural Cheese With Pepper</t>
  </si>
  <si>
    <t>https://cdn.mafrservices.com/sys-master-root/h84/hf3/10358462578718/559994_main.jpg?im=Resize=1700</t>
  </si>
  <si>
    <t>ندى زبادي يوناني 0% دهون، 330 مل</t>
  </si>
  <si>
    <t>President Salted Butter 100g</t>
  </si>
  <si>
    <t>330ml</t>
  </si>
  <si>
    <t>https://cdn.mafrservices.com/pim-content/SAU/media/product/749726/1752059403/749726_main.jpg?im=Resize=1700</t>
  </si>
  <si>
    <t>ندى زبادي كامل الدسم 2 كجم</t>
  </si>
  <si>
    <t>Nada - Plain Greek Yogurt 0% Fat, 330ml</t>
  </si>
  <si>
    <t>https://cdn.mafrservices.com/sys-master-root/h2f/h0d/13272532320286/519431_main.jpg?im=Resize=1700</t>
  </si>
  <si>
    <t>بوك شرائح جبنة الشيدر 400 جرام</t>
  </si>
  <si>
    <t>Nada Fresh Yoghurt Full Cream 2kg</t>
  </si>
  <si>
    <t>https://cdn.mafrservices.com/sys-master-root/hcc/h12/49411391586334/703677_main.jpg?im=Resize=1700</t>
  </si>
  <si>
    <t>ندى مشروب يوناني 330 مل</t>
  </si>
  <si>
    <t>Puck Cheddar Cheese Slices 400g</t>
  </si>
  <si>
    <t>https://cdn.mafrservices.com/sys-master-root/hda/hdf/63422447190046/626706_main.jpg?im=Resize=1700</t>
  </si>
  <si>
    <t>داري - جبنة موزاريلا مبشورة معالجة ومبسترة 180 جرام</t>
  </si>
  <si>
    <t>Nada Mango Drinking Greek Yoghurt 330ml</t>
  </si>
  <si>
    <t>https://cdn.mafrservices.com/sys-master-root/hfd/h58/11514589741086/553702_main.jpg?im=Resize=1700</t>
  </si>
  <si>
    <t>بريزيدن شرائح جبنة للتوست 200 جرام 10 شرائح</t>
  </si>
  <si>
    <t>Dari - Pasteurized Analogue Shredded Mozzarella 180g</t>
  </si>
  <si>
    <t>https://cdn.mafrservices.com/sys-master-root/h32/he9/10371957162014/278060_main.jpg?im=Resize=1700</t>
  </si>
  <si>
    <t>جبنة جدل - سوريا</t>
  </si>
  <si>
    <t>President Slice Cheese Toast with Emmental 200g</t>
  </si>
  <si>
    <t>https://cdn.mafrservices.com/pim-content/SAU/media/product/739626/1725970203/739626_main.jpg?im=Resize=1700</t>
  </si>
  <si>
    <t>نادك حليب طويل الأجل 125مل</t>
  </si>
  <si>
    <t>Jadal Cheese Syria</t>
  </si>
  <si>
    <t>https://cdn.mafrservices.com/pim-content/SAU/media/product/667900/1736861403/667900_main.jpg?im=Resize=1700</t>
  </si>
  <si>
    <t>إيل آند فير إكسلنلس كريمة خفق 1 لتر</t>
  </si>
  <si>
    <t>Nadec Long Life Plain Milk 125ml</t>
  </si>
  <si>
    <t>https://cdn.mafrservices.com/sys-master-root/h01/h78/9152406552606/6352_main.jpg?im=Resize=1700</t>
  </si>
  <si>
    <t>الصافي زبادي قليل الدسم 170 جرام</t>
  </si>
  <si>
    <t>Elle &amp;amp; Vire Excellence Whipping Cream 1l</t>
  </si>
  <si>
    <t>https://cdn.mafrservices.com/sys-master-root/h3c/h80/26993926078494/399901_main.jpg?im=Resize=1700</t>
  </si>
  <si>
    <t>بوك صلصة الفطر والفلفل 500 مل</t>
  </si>
  <si>
    <t>Alsafi Fresh Yoghurt Low Fat 170g</t>
  </si>
  <si>
    <t>https://cdn.mafrservices.com/sys-master-root/hdc/h8b/63885758398494/613640_main.jpg?im=Resize=1700</t>
  </si>
  <si>
    <t>كرافت شرائح جبنة  400 جرام</t>
  </si>
  <si>
    <t>Puck Mushroom Sauce With Pepper 500ml</t>
  </si>
  <si>
    <t>https://cdn.mafrservices.com/pim-content/SAU/media/product/109479/1747835974/109479_main.jpg?im=Resize=1700</t>
  </si>
  <si>
    <t>سنبلة جبن قشقوان هنغاري</t>
  </si>
  <si>
    <t>Kraft Original Cheese Slices 400g</t>
  </si>
  <si>
    <t>https://cdn.mafrservices.com/sys-master-root/h0e/he0/26804292616222/610892_main.jpg?im=Resize=1700</t>
  </si>
  <si>
    <t>نادك لبنة طازجة كاملة الدسم 200جرام</t>
  </si>
  <si>
    <t>Sunbulah Kashkaval Cheese Hungary</t>
  </si>
  <si>
    <t>https://cdn.mafrservices.com/sys-master-root/hcf/h1e/49997904609310/53574_main.jpg?im=Resize=1700</t>
  </si>
  <si>
    <t>جبنة ابوالولد جبنة مثلثات ، 32 قطعة ، 480جرام</t>
  </si>
  <si>
    <t>Nadec Fresh Full Fat Labneh 200g</t>
  </si>
  <si>
    <t>Regal</t>
  </si>
  <si>
    <t>https://cdn.mafrservices.com/sys-master-root/h74/had/13222296616990/4750_main.jpg?im=Resize=1700</t>
  </si>
  <si>
    <t>لونا حليب كامل الدسم 200مل × 18</t>
  </si>
  <si>
    <t>Regal Picon Triangle Cheese 32 Portions 480g</t>
  </si>
  <si>
    <t>https://cdn.mafrservices.com/sys-master-root/ha7/hdd/28303985180702/296371_main.jpg?im=Resize=1700</t>
  </si>
  <si>
    <t>جبنة براميلي مع الفلفل</t>
  </si>
  <si>
    <t>Luna Long Life Full Fat Milk 200ml &amp;times; 18</t>
  </si>
  <si>
    <t>https://cdn.mafrservices.com/sys-master-root/h82/h96/15605209399326/652274_main.jpg?im=Resize=1700</t>
  </si>
  <si>
    <t>المراعي حمص بعصرة ليمون 250 جرام × 2</t>
  </si>
  <si>
    <t>Cheesaland Baramili With Pepper</t>
  </si>
  <si>
    <t>https://cdn.mafrservices.com/sys-master-root/hd0/hc4/49411386900510/700573_main.jpg?im=Resize=1700</t>
  </si>
  <si>
    <t>بوك شبيه جبنة موزاريلا مبشورة 400جرام</t>
  </si>
  <si>
    <t>Almarai Hummus Lemon Twist 250g X2</t>
  </si>
  <si>
    <t>https://cdn.mafrservices.com/sys-master-root/h70/h01/63885870235678/87534_main.jpg?im=Resize=1700</t>
  </si>
  <si>
    <t>السعودية حليب بنكهة الموز طويل الأجل 125مل × 24</t>
  </si>
  <si>
    <t>Puck Shredded Analogue Mozzarella 400g</t>
  </si>
  <si>
    <t>https://cdn.mafrservices.com/sys-master-root/h4a/h8c/26926898905118/671734_main.jpg?im=Resize=1700</t>
  </si>
  <si>
    <t>الأبقار الثلاث جبنة ابيض ملح خفيف بالزيت النباتي 200 جرام</t>
  </si>
  <si>
    <t>Saudia Long Life Banana Milk 125ml &amp;times; 24</t>
  </si>
  <si>
    <t>https://cdn.mafrservices.com/sys-master-root/h55/ha7/63885747552286/51797_main.jpg?im=Resize=1700</t>
  </si>
  <si>
    <t>شرائح جبنة موزاريلا 200 جرام</t>
  </si>
  <si>
    <t>The Three Cows White Cheese 200g</t>
  </si>
  <si>
    <t>https://cdn.mafrservices.com/sys-master-root/h9c/h61/14448743940126/645378_main.jpg?im=Resize=1700</t>
  </si>
  <si>
    <t>جبنة قشقوان بقري</t>
  </si>
  <si>
    <t>President Special Pizza Mozzarella Slice Cheese 200g</t>
  </si>
  <si>
    <t>Per Kg</t>
  </si>
  <si>
    <t>https://cdn.mafrservices.com/pim-content/SAU/media/product/676928/1750862404/676928_main.jpg?im=Resize=1700</t>
  </si>
  <si>
    <t>جبنة شيدر بيضاء أيرلندية</t>
  </si>
  <si>
    <t>Cow Kashkaval Cheese Per Kg</t>
  </si>
  <si>
    <t>https://cdn.mafrservices.com/sys-master-root/hc9/hca/51176138276894/584235_main.jpg?im=Resize=1700</t>
  </si>
  <si>
    <t>كي دي دي حليب طويل الأجل بنكهة الفانيليا 180 مل × 18</t>
  </si>
  <si>
    <t>Irish White Cheddar</t>
  </si>
  <si>
    <t>https://cdn.mafrservices.com/sys-master-root/h8a/hfc/10893919518750/104274_main.jpg?im=Resize=1700</t>
  </si>
  <si>
    <t>فرسانا زبدة غير مملحة (عبوات صغيرة) 10جرام ×96 عبوة</t>
  </si>
  <si>
    <t>Kdd Long Life Vanilla Flavored Milk 180ml &amp;times; 18</t>
  </si>
  <si>
    <t>10g x96</t>
  </si>
  <si>
    <t>https://cdn.mafrservices.com/sys-master-root/h34/h97/63513494880286/497809_main.jpg?im=Resize=1700</t>
  </si>
  <si>
    <t>كرافت جبنة  الأصلية 200 جرام</t>
  </si>
  <si>
    <t>Forsana Unsalted Butter (Mini Packs) 10g x96</t>
  </si>
  <si>
    <t>https://cdn.mafrservices.com/sys-master-root/h7c/h93/63885737885726/109478_main.jpg?im=Resize=1700</t>
  </si>
  <si>
    <t>فرسانا  (شبيه جبنة) شرائح الجبن 170 جرام</t>
  </si>
  <si>
    <t>Kraft Original Cheese Slices 200g</t>
  </si>
  <si>
    <t>https://cdn.mafrservices.com/sys-master-root/h07/h03/14686063394846/497813_main.jpg?im=Resize=1700</t>
  </si>
  <si>
    <t>جبنة عكاوي</t>
  </si>
  <si>
    <t>Forsana Slice Analogue Chees 170g</t>
  </si>
  <si>
    <t>https://cdn.mafrservices.com/sys-master-root/h9d/hb1/33685561081886/574135_main.jpg?im=Resize=1700</t>
  </si>
  <si>
    <t>صحة بيض كبير 6 حبات</t>
  </si>
  <si>
    <t>Akawi Cheese</t>
  </si>
  <si>
    <t>https://cdn.mafrservices.com/sys-master-root/ha2/h32/52030837325854/688411_main.jpg?im=Resize=1700</t>
  </si>
  <si>
    <t>المراعي حليب غني بالشوكولاتة 200 مل</t>
  </si>
  <si>
    <t>Saha Jumbo Eggs 6&amp;#39;s</t>
  </si>
  <si>
    <t>https://cdn.mafrservices.com/sys-master-root/h4f/h3f/50520426381342/528582_main.jpg?im=Resize=1700</t>
  </si>
  <si>
    <t>كيري جرة ، جبنة بالقشطة قابلة للدهن ، برطمان ، 440 غرام</t>
  </si>
  <si>
    <t>Almarai UHT Milk Double Chocolate 200ml</t>
  </si>
  <si>
    <t>440g</t>
  </si>
  <si>
    <t>https://cdn.mafrservices.com/sys-master-root/he7/h7c/13205285765150/130416_main.jpg?im=Resize=1700</t>
  </si>
  <si>
    <t>بريزيدن زبدة غير مملحة 400جرام</t>
  </si>
  <si>
    <t>Kiri Al Jarra Cream Cheese 440g</t>
  </si>
  <si>
    <t>https://cdn.mafrservices.com/sys-master-root/h36/had/10371958145054/51836_main.jpg?im=Resize=1700</t>
  </si>
  <si>
    <t>نادك - شرائح جبنة للساندويتش عبوة من 10 شرائح</t>
  </si>
  <si>
    <t>President Butter Unsalted 400g</t>
  </si>
  <si>
    <t>https://cdn.mafrservices.com/pim-content/SAU/media/product/593378/1739179803/593378_main.jpg?im=Resize=1700</t>
  </si>
  <si>
    <t>بوك - جبنة بيضاء مكعبات بالبابريكا والفلفل الحار، على الطريقة اليونانية، مع مصفاة، 200 جرام</t>
  </si>
  <si>
    <t>Nadec - Sandwich Slice Cheese X10</t>
  </si>
  <si>
    <t>https://cdn.mafrservices.com/pim-content/SAU/media/product/737998/1721556003/737998_main.jpg?im=Resize=1700</t>
  </si>
  <si>
    <t>نادك جبن شرائح قليل الدسم 200 جرام</t>
  </si>
  <si>
    <t>Puck - Cubed White Cheese, With Paprika &amp;amp; Chili, Greek Style, With Drainer, 200g</t>
  </si>
  <si>
    <t>https://cdn.mafrservices.com/pim-content/SAU/media/product/252512/1739179803/252512_main.jpg?im=Resize=1700</t>
  </si>
  <si>
    <t>الصافي لبن طازج كامل الدسم 180 مل</t>
  </si>
  <si>
    <t>Nadec Cheese Sliced Low Fat 200g</t>
  </si>
  <si>
    <t>https://cdn.mafrservices.com/pim-content/SAU/media/product/730099/1722351603/730099_main.jpg?im=Resize=1700</t>
  </si>
  <si>
    <t>نادك لبن قليل الدسم 800 مل</t>
  </si>
  <si>
    <t>Al Safi Fresh Full Fat Laban 180ml</t>
  </si>
  <si>
    <t>https://cdn.mafrservices.com/sys-master-root/hdd/h91/9323311398942/491473_main.jpg?im=Resize=1700</t>
  </si>
  <si>
    <t>بلدي - لبنة تركية 1.2 كج</t>
  </si>
  <si>
    <t>Nadec Low Fat Laban 800ml</t>
  </si>
  <si>
    <t>1.2kg</t>
  </si>
  <si>
    <t>https://cdn.mafrservices.com/pim-content/SAU/media/product/749081/1746457205/749081_main.jpg?im=Resize=1700</t>
  </si>
  <si>
    <t>بلادي زبادي يوناني، قليل الدسم، 450 جرام</t>
  </si>
  <si>
    <t>Balade Turkish Labneh 1.2kg</t>
  </si>
  <si>
    <t>https://cdn.mafrservices.com/pim-content/SAU/media/product/747054/1744621203/747054_main.jpg?im=Resize=1700</t>
  </si>
  <si>
    <t>المراعي نجوم حليب بالشوكولاته بوزن 150 ملل</t>
  </si>
  <si>
    <t>Balade Greek Yogurt, Low Fat, 450g</t>
  </si>
  <si>
    <t>https://cdn.mafrservices.com/sys-master-root/h88/hfd/50520429330462/568319_main.jpg?im=Resize=1700</t>
  </si>
  <si>
    <t>فرسانا جبنة شيدريلا مبشورة 200 جرام</t>
  </si>
  <si>
    <t>Almarai Long Life Nijoom Chocolate Flavored Milk 150ml</t>
  </si>
  <si>
    <t>https://cdn.mafrservices.com/sys-master-root/h7a/h8b/9320593850398/508232_main.jpg?im=Resize=1700</t>
  </si>
  <si>
    <t>المراعي شرائح  جبن الساندويتش 200 غرام حزمة من 4</t>
  </si>
  <si>
    <t>Forsana Cheddarella Analogue Chees  Shredded 200g</t>
  </si>
  <si>
    <t>200g x4</t>
  </si>
  <si>
    <t>https://cdn.mafrservices.com/sys-master-root/h87/h91/10640624320542/600991_main.jpg?im=Resize=1700</t>
  </si>
  <si>
    <t>السعودية حليب خالي الدسم طويل الأجل 200 مل × 24 قطعة</t>
  </si>
  <si>
    <t>Almarai Sandwich Cheese Slices 200g Pack of 4</t>
  </si>
  <si>
    <t>https://cdn.mafrservices.com/sys-master-root/h5f/h5b/49823127699486/369329_main.jpg?im=Resize=1700</t>
  </si>
  <si>
    <t>السعودية حليب بنكهة الشوكولاتة 125مل</t>
  </si>
  <si>
    <t>Saudia Long Life Skimmed Milk 200ml &amp;times; 24 Pieces</t>
  </si>
  <si>
    <t>https://cdn.mafrservices.com/sys-master-root/h78/hc4/44240649388062/652843_main.jpg?im=Resize=1700</t>
  </si>
  <si>
    <t>البقرات الثلاث ( شبية جبة)  موزاريلا مبشورة 400 جرام</t>
  </si>
  <si>
    <t>Saudia Chocolate Milk 125ml</t>
  </si>
  <si>
    <t>https://cdn.mafrservices.com/sys-master-root/h00/h78/27344631824414/51806_main.jpg?im=Resize=1700</t>
  </si>
  <si>
    <t>جبنة مدخنة</t>
  </si>
  <si>
    <t>The Three Cows Shredded Mozzarella Cheese(Analogue) 400g</t>
  </si>
  <si>
    <t>https://cdn.mafrservices.com/sys-master-root/hf6/h79/51176019656734/109598_main.jpg?im=Resize=1700</t>
  </si>
  <si>
    <t>نادك كريمة طازجة 100 جرام × 2</t>
  </si>
  <si>
    <t>Smoked Cheese Plainper</t>
  </si>
  <si>
    <t>https://cdn.mafrservices.com/sys-master-root/h53/h09/13984020430878/519114_main.jpg?im=Resize=1700</t>
  </si>
  <si>
    <t>نادك لبن عيران  180مل</t>
  </si>
  <si>
    <t>Nadec Fresh Cream 100g &amp;times; 2</t>
  </si>
  <si>
    <t>https://cdn.mafrservices.com/sys-master-root/hcc/hb9/9484678135838/593384_main.jpg?im=Resize=1700</t>
  </si>
  <si>
    <t>دانيت كريم كراميل 80 جرام</t>
  </si>
  <si>
    <t>Nadec Ayran Laban 180ml</t>
  </si>
  <si>
    <t>80g</t>
  </si>
  <si>
    <t>https://cdn.mafrservices.com/sys-master-root/h89/h6e/26993928863774/47435_main.jpg?im=Resize=1700</t>
  </si>
  <si>
    <t>زاد المدينة جبن جودة من حليب الماعز عضوي 150 جرام</t>
  </si>
  <si>
    <t>Danette Dessert Cream Caramel 80g</t>
  </si>
  <si>
    <t>https://cdn.mafrservices.com/pim-content/SAU/media/product/751652/1750953603/751652_main.jpg?im=Resize=1700</t>
  </si>
  <si>
    <t>برايد شرائح جبن  500 جرام</t>
  </si>
  <si>
    <t>Zad Madinah Organic Goat Gouda Cheese 150g</t>
  </si>
  <si>
    <t>https://cdn.mafrservices.com/sys-master-root/hbd/h9d/15040740098078/8820_main.jpg?im=Resize=1700</t>
  </si>
  <si>
    <t>جبنة شلل سورية</t>
  </si>
  <si>
    <t>Pride Fancy Cheese Slices 500g</t>
  </si>
  <si>
    <t>https://cdn.mafrservices.com/pim-content/SAU/media/product/739624/1725269404/739624_main.jpg?im=Resize=1700</t>
  </si>
  <si>
    <t>كي دي دي شوكولاتة الحليب 180 مل</t>
  </si>
  <si>
    <t>Shelal Cheese, Syrian</t>
  </si>
  <si>
    <t>Kuwait</t>
  </si>
  <si>
    <t>https://cdn.mafrservices.com/sys-master-root/h00/h59/9112143560734/104265_main.jpg?im=Resize=1700</t>
  </si>
  <si>
    <t>المراعي شوكولاتة كاسترد 85 جرام</t>
  </si>
  <si>
    <t>KDD UHT Chocolate Milk 180ml</t>
  </si>
  <si>
    <t>https://cdn.mafrservices.com/sys-master-root/hbf/h93/50520583602206/606171_main.jpg?im=Resize=1700</t>
  </si>
  <si>
    <t>المراعي شرائح جبن ساندويتش، 20 شريحة، 400 جرام</t>
  </si>
  <si>
    <t>Almarai Chocolate Custard 85g</t>
  </si>
  <si>
    <t>https://cdn.mafrservices.com/sys-master-root/hfa/h57/52511828148254/709866_main.jpg?im=Resize=1700</t>
  </si>
  <si>
    <t>المراعي حليب بطعم الشوكولاتة مزدوج 225مل</t>
  </si>
  <si>
    <t>Almarai Slice Cheese Sandwich, 20 Slices, 400g</t>
  </si>
  <si>
    <t>https://cdn.mafrservices.com/sys-master-root/h56/ha4/50520596709406/678575_main.jpg?im=Resize=1700</t>
  </si>
  <si>
    <t>السعودية حليب دبل الشوكولاتة 200مل ×15 + 3 مجانا</t>
  </si>
  <si>
    <t>Almarai Double Chocolate Milk 225ml</t>
  </si>
  <si>
    <t>200ml x18</t>
  </si>
  <si>
    <t>https://cdn.mafrservices.com/pim-content/SAU/media/product/739013/1723098604/739013_main.jpg?im=Resize=1700</t>
  </si>
  <si>
    <t>بوك موزاريلا شيدر 400جرام</t>
  </si>
  <si>
    <t>Saudia Double Choco Milk 200ml x15 + 3 Free</t>
  </si>
  <si>
    <t>https://cdn.mafrservices.com/sys-master-root/hac/h80/63885863780382/713741_main.jpg?im=Resize=1700</t>
  </si>
  <si>
    <t>ندى لبنة يونانية 200 جرام - غنية بالبروتين، سلسة وكريمية</t>
  </si>
  <si>
    <t>Puck Mozzarella Cheddar 400g</t>
  </si>
  <si>
    <t>https://cdn.mafrservices.com/pim-content/SAU/media/product/749727/1753087636/749727_main.jpg?im=Resize=1700</t>
  </si>
  <si>
    <t>السعودية حليب طويل الأجل كامل الدسم 200 مل</t>
  </si>
  <si>
    <t>Nada Greek Labneh 200g - Rich in Protein, Smooth &amp;amp; Creamy</t>
  </si>
  <si>
    <t>https://cdn.mafrservices.com/sys-master-root/h2a/h66/49823129108510/77050_main.jpg?im=Resize=1700</t>
  </si>
  <si>
    <t>نادك حليب طازج قليل الدسم 800 مل</t>
  </si>
  <si>
    <t>Saudia Long Life Full Fat Milk 200ml</t>
  </si>
  <si>
    <t>https://cdn.mafrservices.com/sys-master-root/hdf/hf7/15128691343390/491470_main.jpg?im=Resize=1700</t>
  </si>
  <si>
    <t>فلورا بلانت كريمة الطبخ 1 لتر</t>
  </si>
  <si>
    <t>Nadec Fresh Milk Low Fat 800ml</t>
  </si>
  <si>
    <t>Flora</t>
  </si>
  <si>
    <t>https://cdn.mafrservices.com/sys-master-root/h6a/haa/63422840537118/731057_main.jpg?im=Resize=1700</t>
  </si>
  <si>
    <t>برايد جبنة كريمة 900 جرام</t>
  </si>
  <si>
    <t>Flora Plant Cooking Cream 1L</t>
  </si>
  <si>
    <t>https://cdn.mafrservices.com/sys-master-root/ha6/h98/13148961275934/639772_main.jpg?im=Resize=1700</t>
  </si>
  <si>
    <t>المراعي حليب شوكولاتة طازج 360 مل</t>
  </si>
  <si>
    <t>Pride Cream Cheese Jar 900g</t>
  </si>
  <si>
    <t>https://cdn.mafrservices.com/sys-master-root/h91/ha5/50520425496606/530145_main.jpg?im=Resize=1700</t>
  </si>
  <si>
    <t>بريزيدن شرائح جبن 0% دهون 200 غرام</t>
  </si>
  <si>
    <t>Almarai Double Chocolate Fresh Milk 360ml</t>
  </si>
  <si>
    <t>https://cdn.mafrservices.com/sys-master-root/h46/h0f/14836869333022/645379_main.jpg?im=Resize=1700</t>
  </si>
  <si>
    <t>داري لبنة تركية 375جرام</t>
  </si>
  <si>
    <t>President 0 Fat Slice Cheese 200g</t>
  </si>
  <si>
    <t>https://cdn.mafrservices.com/sys-master-root/h6f/hf7/10358459596830/576900_main.jpg?im=Resize=1700</t>
  </si>
  <si>
    <t>السعودية حليب  بنكهة الفراولة 200 مل × 15 + 3 مجاناً</t>
  </si>
  <si>
    <t>Dari Turkish Labneh 375g</t>
  </si>
  <si>
    <t>https://cdn.mafrservices.com/sys-master-root/hc1/h97/50229197668382/599595_main.jpg?im=Resize=1700</t>
  </si>
  <si>
    <t>ندى حليب كامل الدسم 1.75 لتر</t>
  </si>
  <si>
    <t>Saudia Strawberry Flavored Milk 200ml &amp;times; 15 + 3 Free</t>
  </si>
  <si>
    <t>https://cdn.mafrservices.com/sys-master-root/h86/ha5/10276342792222/60613_main.jpg?im=Resize=1700</t>
  </si>
  <si>
    <t>الصافي لبن طازج كامل الدسم 850 مل</t>
  </si>
  <si>
    <t>Nada Full Fat Milk 1.75L</t>
  </si>
  <si>
    <t>https://cdn.mafrservices.com/sys-master-root/hd6/hc3/26993932894238/605725_main.jpg?im=Resize=1700</t>
  </si>
  <si>
    <t>شبيه جبنة كريمية مزدوجة</t>
  </si>
  <si>
    <t>Alsafi Full Fat Fresh Laban 850ml</t>
  </si>
  <si>
    <t>https://cdn.mafrservices.com/sys-master-root/h84/h5a/51509625225246/77532_main.jpg?im=Resize=1700</t>
  </si>
  <si>
    <t>غران جبنة البيرو 200 جرام</t>
  </si>
  <si>
    <t>Double Cream Cheese</t>
  </si>
  <si>
    <t>ALBIERO</t>
  </si>
  <si>
    <t>https://cdn.mafrservices.com/sys-master-root/h4f/h2b/49411333193758/683824_main.jpg?im=Resize=1700</t>
  </si>
  <si>
    <t>غنية جبنة بالحبة السوداء</t>
  </si>
  <si>
    <t>Gran Albiero Cheese 200g</t>
  </si>
  <si>
    <t>https://cdn.mafrservices.com/sys-master-root/hb6/hc7/14114509881374/643093_main.jpg?im=Resize=1700</t>
  </si>
  <si>
    <t>بريزيدن إيمنتال جبنة  220 جرام</t>
  </si>
  <si>
    <t>Ghaneya Baladi Cheese Black Seeds(Per Kg)</t>
  </si>
  <si>
    <t>220g</t>
  </si>
  <si>
    <t>https://cdn.mafrservices.com/sys-master-root/h5b/hdc/14836870250526/645371_main.jpg?im=Resize=1700</t>
  </si>
  <si>
    <t>برايد شبيه جبنة الموزاريلا المبشورة 1 كجم</t>
  </si>
  <si>
    <t>President Emmental Cheese Block 220g</t>
  </si>
  <si>
    <t>https://cdn.mafrservices.com/sys-master-root/h89/h5e/14570234347550/146780_main.jpg?im=Resize=1700</t>
  </si>
  <si>
    <t>ندى حليب بالبروتين بالتمر 320 مل</t>
  </si>
  <si>
    <t>Pride Shredded Analogue Mozarella Cheese 1kg</t>
  </si>
  <si>
    <t>https://cdn.mafrservices.com/sys-master-root/hbc/hd0/63513513656350/644174_main.jpg?im=Resize=1700</t>
  </si>
  <si>
    <t>لبنة قليلة الدسم</t>
  </si>
  <si>
    <t>Nada Protein Milk With Real Dates 320ml</t>
  </si>
  <si>
    <t>&lt;ignore&gt;</t>
  </si>
  <si>
    <t>https://cdn.mafrservices.com/sys-master-root/he4/h2d/12066793652254/569021_main.jpg?im=Resize=1700</t>
  </si>
  <si>
    <t>بريزيدن زبدة غير مملحة 200جرام</t>
  </si>
  <si>
    <t>Labneh low fat local (per kg)</t>
  </si>
  <si>
    <t>https://cdn.mafrservices.com/sys-master-root/hd7/h85/10358461431838/51835_main.jpg?im=Resize=1700</t>
  </si>
  <si>
    <t>صافيو زبادي التوت المشكل 110جرام</t>
  </si>
  <si>
    <t>President Butter 200g</t>
  </si>
  <si>
    <t>110g</t>
  </si>
  <si>
    <t>https://cdn.mafrservices.com/sys-master-root/hcc/h6b/34769729978398/690890_main.jpg?im=Resize=1700</t>
  </si>
  <si>
    <t>ندى زبادي كامل الدسم 1 كج</t>
  </si>
  <si>
    <t>Safio Mix Berries Yoghurt 110g</t>
  </si>
  <si>
    <t>https://cdn.mafrservices.com/sys-master-root/h47/h7a/28723576700958/676041_main.jpg?im=Resize=1700</t>
  </si>
  <si>
    <t>قوت - سمن نقي من حليب الماعز بوزن 400 جرام</t>
  </si>
  <si>
    <t>Nada Full Fat Yogurt 1kg</t>
  </si>
  <si>
    <t>https://cdn.mafrservices.com/pim-content/SAU/media/product/751030/1751356803/751030_main.jpg?im=Resize=1700</t>
  </si>
  <si>
    <t>الأبقار الثلاث جبنة ابيض قليلة الدسم 200جرام</t>
  </si>
  <si>
    <t>Goot - Pure Goat Ghee 400g</t>
  </si>
  <si>
    <t>https://cdn.mafrservices.com/sys-master-root/h31/hc3/63885750337566/51802_main.jpg?im=Resize=1700</t>
  </si>
  <si>
    <t>السنبلة جبنة موزاريلا مبشورة  500 جرام</t>
  </si>
  <si>
    <t>Three Cows White Cheese Low Fat 200g</t>
  </si>
  <si>
    <t>Sunbulah</t>
  </si>
  <si>
    <t>https://cdn.mafrservices.com/sys-master-root/hab/h53/14585741148190/570544_main.jpg?im=Resize=1700</t>
  </si>
  <si>
    <t>بوك شبمة موزاريلا وقشقوان مبشورة 180جرام</t>
  </si>
  <si>
    <t>Sunbulah Shredded Mozzarella Cheese 500g</t>
  </si>
  <si>
    <t>https://cdn.mafrservices.com/sys-master-root/hbd/h6f/63885761151006/690254_main.jpg?im=Resize=1700</t>
  </si>
  <si>
    <t>برايد بريميوم تشويس مكعبات جبنة 1.8 كجم</t>
  </si>
  <si>
    <t>Puck Mozzarella And Kashkaval Shredded Cheese Mix 180g</t>
  </si>
  <si>
    <t>https://cdn.mafrservices.com/sys-master-root/h5a/h4a/14570239426590/8831_main.jpg?im=Resize=1700</t>
  </si>
  <si>
    <t>بريزيدن زبدة  غير مملحة 100جرام</t>
  </si>
  <si>
    <t>Pride Cheese Block Premium Choice 1.8 Kg</t>
  </si>
  <si>
    <t>https://cdn.mafrservices.com/sys-master-root/h18/h82/10358461300766/51834_main.jpg?im=Resize=1700</t>
  </si>
  <si>
    <t>نادك جبن شرائح قليل الدسم 400 جرام</t>
  </si>
  <si>
    <t>President Unsalted Butter 100g</t>
  </si>
  <si>
    <t>https://cdn.mafrservices.com/pim-content/SAU/media/product/636028/1739179803/636028_main.jpg?im=Resize=1700</t>
  </si>
  <si>
    <t>نادك شبيه جبنة مثلثات 120 جرام عبوة من 5</t>
  </si>
  <si>
    <t>Nadec Cheese Sliced Low Fat 400g</t>
  </si>
  <si>
    <t>120g x5</t>
  </si>
  <si>
    <t>https://cdn.mafrservices.com/sys-master-root/ha0/h85/27009391493150/636031_main.jpg?im=Resize=1700</t>
  </si>
  <si>
    <t>نادك شبيه جبنة موزاريلا مبشورة 200 جرام</t>
  </si>
  <si>
    <t>Nadec Analogue Triangle Cheese 120g x5</t>
  </si>
  <si>
    <t>https://cdn.mafrservices.com/pim-content/SAU/media/product/641557/1739179803/641557_main.jpg?im=Resize=1700</t>
  </si>
  <si>
    <t>صافيو حليب طويل الأجل بنكهة الفانيليا 140 مل × 18</t>
  </si>
  <si>
    <t>Nadec Analogue Shredded Mozzarella Cheese 200g</t>
  </si>
  <si>
    <t>https://cdn.mafrservices.com/sys-master-root/hac/h9b/34789839110174/694783_main.jpg?im=Resize=1700</t>
  </si>
  <si>
    <t>السعودية حليب دبل شوكولاتة 18 × 200 مل</t>
  </si>
  <si>
    <t>Safio UHT Milk Vanilla 140ml X18</t>
  </si>
  <si>
    <t>https://cdn.mafrservices.com/sys-master-root/h01/he9/51887009136670/721607_main.jpg?im=Resize=1700</t>
  </si>
  <si>
    <t>أكتيفيا بيفيدوس شراب غني بقطع الفاكهة والخوخ والبذور 280 مل</t>
  </si>
  <si>
    <t>Saudia Double Chocolate Milk 18x200ml</t>
  </si>
  <si>
    <t>https://cdn.mafrservices.com/sys-master-root/h2e/h85/9027105161246/589370_main.jpg?im=Resize=1700</t>
  </si>
  <si>
    <t>السعودية حليب طويل الأجل كامل الدسم - 500 مل</t>
  </si>
  <si>
    <t>Activia Yoghurt Go Drinkable Yogurt Snack Peach And Seeds 280ml</t>
  </si>
  <si>
    <t>https://cdn.mafrservices.com/sys-master-root/h70/h18/49823128977438/77049_main.jpg?im=Resize=1700</t>
  </si>
  <si>
    <t>دانيت بودينج فانيليا 75 جرام</t>
  </si>
  <si>
    <t>Saudia Long Life Full Fat Milk 500ml</t>
  </si>
  <si>
    <t>https://cdn.mafrservices.com/sys-master-root/h32/h6e/26993928831006/505059_main.jpg?im=Resize=1700</t>
  </si>
  <si>
    <t>بوك جبن مثلثات 24 قطعة 360 غرام</t>
  </si>
  <si>
    <t>Danette Vanilla Pudding Dessert 75g</t>
  </si>
  <si>
    <t>https://cdn.mafrservices.com/sys-master-root/hb3/hf9/15071551488030/565459_main.jpg?im=Resize=1700</t>
  </si>
  <si>
    <t>بوك لبنة بالزعتر 180 جرام</t>
  </si>
  <si>
    <t>Puck Triangle Cheese 24 Pieces</t>
  </si>
  <si>
    <t>https://cdn.mafrservices.com/sys-master-root/h60/ha8/63885763739678/690250_main.jpg?im=Resize=1700</t>
  </si>
  <si>
    <t>السعودية حمص كلاسيك 215 جرام</t>
  </si>
  <si>
    <t>Puck Zaatar Labaneh 180g</t>
  </si>
  <si>
    <t>215g</t>
  </si>
  <si>
    <t>https://cdn.mafrservices.com/sys-master-root/h50/hb6/51847212433438/723267_main.jpg?im=Resize=1700</t>
  </si>
  <si>
    <t>فلورا زبدة نباتية مملحة 200 جرام</t>
  </si>
  <si>
    <t>Saudia Hummus Dip Plain 215g</t>
  </si>
  <si>
    <t>https://cdn.mafrservices.com/sys-master-root/h50/hb5/63422840897566/730851_main.jpg?im=Resize=1700</t>
  </si>
  <si>
    <t>كرافت جبنة شيدر 190 جرام</t>
  </si>
  <si>
    <t>Flora Plant Butter Salted 200g</t>
  </si>
  <si>
    <t>190g</t>
  </si>
  <si>
    <t>https://cdn.mafrservices.com/sys-master-root/h44/h52/63885743423518/199898_main.jpg?im=Resize=1700</t>
  </si>
  <si>
    <t>السعودية حليب  كامل الدسم 500 مل × 18</t>
  </si>
  <si>
    <t>Kraft Processed Cheddar Cheese 190g</t>
  </si>
  <si>
    <t>https://cdn.mafrservices.com/sys-master-root/hc8/h7c/14953130590238/128941_main.jpg?im=Resize=1700</t>
  </si>
  <si>
    <t>لبنة أولكر كاملة الدسم</t>
  </si>
  <si>
    <t>Saudia Uht Full Fat Milk 500ml &amp;times;18</t>
  </si>
  <si>
    <t>https://cdn.mafrservices.com/sys-master-root/h2d/h8f/51509337587742/113092_main.jpg?im=Resize=1700</t>
  </si>
  <si>
    <t xml:space="preserve">  ألبرو بروفس حليب الصويا 1 لتر</t>
  </si>
  <si>
    <t>Turkey Labneh Full Fat</t>
  </si>
  <si>
    <t>https://cdn.mafrservices.com/sys-master-root/h4c/h9a/34147723673630/586552_main.jpg?im=Resize=1700</t>
  </si>
  <si>
    <t>لونا جبنة شيدر 113جرام × 4</t>
  </si>
  <si>
    <t>Alpro Proffes Soya Milk Coffee 1l</t>
  </si>
  <si>
    <t>https://cdn.mafrservices.com/sys-master-root/hc7/h26/49985928462366/557931_main.jpg?im=Resize=1700</t>
  </si>
  <si>
    <t>جبنة موزاريلا الصافي 900 جرام</t>
  </si>
  <si>
    <t>Luna Cheddar Cheese 113g X4</t>
  </si>
  <si>
    <t>https://cdn.mafrservices.com/sys-master-root/he1/he0/26993933418526/620339_main.jpg?im=Resize=1700</t>
  </si>
  <si>
    <t>برايد كلاسيك جبنة  500 جرام</t>
  </si>
  <si>
    <t>Alsafi Mozzarella Cheese 900g</t>
  </si>
  <si>
    <t>https://cdn.mafrservices.com/sys-master-root/h9a/h59/14686156750878/8834_main.jpg?im=Resize=1700</t>
  </si>
  <si>
    <t>المراعي شرائح  جبن الساندويتش 200 غرام حزمة من 3</t>
  </si>
  <si>
    <t>Pride Premium Block Cheese 500g</t>
  </si>
  <si>
    <t>200g x3</t>
  </si>
  <si>
    <t>https://cdn.mafrservices.com/sys-master-root/h8a/h2d/10640627433502/562174_main.jpg?im=Resize=1700</t>
  </si>
  <si>
    <t>جبن شيدر أحمر ناضج</t>
  </si>
  <si>
    <t>Almarai Low Fat Slices Cheese 200g times 3  1 Free</t>
  </si>
  <si>
    <t>https://cdn.mafrservices.com/pim-content/SAU/media/product/734086/1723122003/734086_main.jpg?im=Resize=1700</t>
  </si>
  <si>
    <t>نادك زبادي كامل الدسم 400 جرام</t>
  </si>
  <si>
    <t>Matured Red Cheddar Cheese</t>
  </si>
  <si>
    <t>https://cdn.mafrservices.com/sys-master-root/hf1/h64/14624469876766/53553_main.jpg?im=Resize=1700</t>
  </si>
  <si>
    <t>نادك شراب لبن عيران 225 مل</t>
  </si>
  <si>
    <t>Nadec Ayran Laban Drink 225ml</t>
  </si>
  <si>
    <t>https://cdn.mafrservices.com/sys-master-root/h24/h4d/9484677087262/537318_main.jpg?im=Resize=1700</t>
  </si>
  <si>
    <t>جالاكسي كيك بار الشوكولاتة 27 جرام × 5</t>
  </si>
  <si>
    <t>Nadec Full Cream Yoghurt 400Gram</t>
  </si>
  <si>
    <t>Galaxy</t>
  </si>
  <si>
    <t>27gx5</t>
  </si>
  <si>
    <t>https://cdn.mafrservices.com/sys-master-root/h0d/hfc/63823316156446/734483_main.jpg?im=Resize=1700</t>
  </si>
  <si>
    <t>أكتيفيا لبن قليل الدسم 375 مل</t>
  </si>
  <si>
    <t>Galaxy Chocolate Cake Bar 27g x5</t>
  </si>
  <si>
    <t>https://cdn.mafrservices.com/sys-master-root/h94/h5d/26993928372254/453026_main.jpg?im=Resize=1700</t>
  </si>
  <si>
    <t>نادك قشطة طازجة قليلة الدسم 100جرام ×2</t>
  </si>
  <si>
    <t>Activia Low Fat Laban 375ml</t>
  </si>
  <si>
    <t>100g x2</t>
  </si>
  <si>
    <t>https://cdn.mafrservices.com/sys-master-root/hb3/h46/63606925787166/574451_main.jpg?im=Resize=1700</t>
  </si>
  <si>
    <t>شبيه جبن براميلي</t>
  </si>
  <si>
    <t>Nadec Lite Fresh Cream 100g x2</t>
  </si>
  <si>
    <t>https://cdn.mafrservices.com/sys-master-root/hb9/h00/11892377288734/77640_main.jpg?im=Resize=1700</t>
  </si>
  <si>
    <t>صحة - بيض مع فيتامين هـ ×15</t>
  </si>
  <si>
    <t>Analogue Baramili Cheese</t>
  </si>
  <si>
    <t>https://cdn.mafrservices.com/sys-master-root/hab/hb8/51126654107678/698246_main.jpg?im=Resize=1700</t>
  </si>
  <si>
    <t>قوس قزح حليب كامل الدسم 185 مل × 18</t>
  </si>
  <si>
    <t>Saha Eggs With Vitamin E x15</t>
  </si>
  <si>
    <t>Rainbow</t>
  </si>
  <si>
    <t>https://cdn.mafrservices.com/sys-master-root/h83/he9/14787579543582/485116_main.jpg?im=Resize=1700</t>
  </si>
  <si>
    <t xml:space="preserve"> ندى حليب البروتين بنكهة مانجو ألفونسو 320 مل</t>
  </si>
  <si>
    <t>Rainbow Uht Full Fat Milk 185ml &amp;times;18</t>
  </si>
  <si>
    <t>https://cdn.mafrservices.com/sys-master-root/h4f/h39/63513586958366/692190_main.jpg?im=Resize=1700</t>
  </si>
  <si>
    <t xml:space="preserve">يو-برو زبادي بروتين سادة 150 جرام – 15 جم بروتين، تريبل زيرو: بدون سكر مضاف، بدون دهون، بدون مواد حافظة
</t>
  </si>
  <si>
    <t>Nada Protein Alphonso Mango Juice - 320ml</t>
  </si>
  <si>
    <t>https://cdn.mafrservices.com/pim-content/SAU/media/product/751809/1753183237/751809_main.jpg?im=Resize=1700</t>
  </si>
  <si>
    <t>بلدي كرات لبنة بزيت الزيتون، 500 جرام</t>
  </si>
  <si>
    <t>YOPRO Protein Stirred Yogurt Plain 150g &amp;ndash; 15g Protein, Triple Zero: No Added Sugar, No Fat, No Preservatives</t>
  </si>
  <si>
    <t>https://cdn.mafrservices.com/pim-content/SAU/media/product/745095/1735831203/745095_main.jpg?im=Resize=1700</t>
  </si>
  <si>
    <t>بوك جبنة شيدر قابلة للدهن 500جرام</t>
  </si>
  <si>
    <t>Balade Labneh Balls in Olive Oil, 500g</t>
  </si>
  <si>
    <t>https://cdn.mafrservices.com/sys-master-root/hc9/hb1/9181880516638/153303_main.jpg?im=Resize=1700</t>
  </si>
  <si>
    <t>المراعي جبنة كريمية قابلة للدهن 900جرام</t>
  </si>
  <si>
    <t>Puck Cheddar Cheese Spread 500g</t>
  </si>
  <si>
    <t>https://cdn.mafrservices.com/sys-master-root/h88/h78/50520423039006/490367_main.jpg?im=Resize=1700</t>
  </si>
  <si>
    <t>السنبلة جبنة حلوم لايت 250 جرام</t>
  </si>
  <si>
    <t>Almarai Spreadable Cream Cheese 900g</t>
  </si>
  <si>
    <t>https://cdn.mafrservices.com/sys-master-root/ha4/h3f/14585741705246/573685_main.jpg?im=Resize=1700</t>
  </si>
  <si>
    <t>دانيت حلى بودينج بطعم الكوكيز 75 جرام</t>
  </si>
  <si>
    <t>Sunbulah Light Haloumi Cheese 250g</t>
  </si>
  <si>
    <t>https://cdn.mafrservices.com/sys-master-root/h67/h1e/26993930403870/505060_main.jpg?im=Resize=1700</t>
  </si>
  <si>
    <t>داري جبنة فيتا</t>
  </si>
  <si>
    <t>Danette Cookie Pudding Dessert 75g</t>
  </si>
  <si>
    <t>https://cdn.mafrservices.com/sys-master-root/h7a/h4c/9168806412318/113088_main.jpg?im=Resize=1700</t>
  </si>
  <si>
    <t>زاد ماضينا مشروب حليب جوز الهند النباتي 750 ملي</t>
  </si>
  <si>
    <t>Dari Feta Cheese</t>
  </si>
  <si>
    <t>750ml</t>
  </si>
  <si>
    <t>https://cdn.mafrservices.com/sys-master-root/hfa/h19/50520599887902/688949_main.jpg?im=Resize=1700</t>
  </si>
  <si>
    <t>نادك حليب كامل الدسم 360 مل</t>
  </si>
  <si>
    <t>Zad Madina Vegan Coconut Milk Drink 750ml</t>
  </si>
  <si>
    <t>https://cdn.mafrservices.com/sys-master-root/h97/h94/9323311431710/491474_main.jpg?im=Resize=1700</t>
  </si>
  <si>
    <t>أنكور زبدة غير مملحة 380 جرام</t>
  </si>
  <si>
    <t>Nadec Full Fat Milk 360ml</t>
  </si>
  <si>
    <t>380g</t>
  </si>
  <si>
    <t>https://cdn.mafrservices.com/pim-content/SAU/media/product/749779/1746345604/749779_main.jpg?im=Resize=1700</t>
  </si>
  <si>
    <t>شبيه القشطة (محلّي)</t>
  </si>
  <si>
    <t>Anchor Unsalted Butter 380g</t>
  </si>
  <si>
    <t>https://cdn.mafrservices.com/sys-master-root/h64/h88/17078499541022/531692_main.jpg?im=Resize=1700</t>
  </si>
  <si>
    <t>فيكتوريا جبنة حلومي شرائح  250 جرام</t>
  </si>
  <si>
    <t>Fresh Cream Local (Per Kg)</t>
  </si>
  <si>
    <t>https://cdn.mafrservices.com/pim-content/SAU/media/product/651418/1744610403/651418_main.jpg?im=Resize=1700</t>
  </si>
  <si>
    <t>السعودية حليب بالشوكولاتة طويل الأجل 1لتر</t>
  </si>
  <si>
    <t>Victoria Haloumi Cheese Slices 250g</t>
  </si>
  <si>
    <t>https://cdn.mafrservices.com/sys-master-root/h21/h57/44240648273950/606616_main.jpg?im=Resize=1700</t>
  </si>
  <si>
    <t>أنالوج شبيه جبنة فيتا هنغارية مزدوجة</t>
  </si>
  <si>
    <t>Saudia Long Life Chocolate Milk 1L</t>
  </si>
  <si>
    <t>https://cdn.mafrservices.com/sys-master-root/h23/hd4/13103063466014/562243_main.jpg?im=Resize=1700</t>
  </si>
  <si>
    <t>الصافي حليب قليل الدسم طويل الأجل 1لتر × 12</t>
  </si>
  <si>
    <t>Hungarian Feta Double Cream</t>
  </si>
  <si>
    <t>https://cdn.mafrservices.com/sys-master-root/hf8/h98/27126614425630/227263_main.jpg?im=Resize=1700</t>
  </si>
  <si>
    <t>ندى حليب كامل الدسم، 1 لتر</t>
  </si>
  <si>
    <t>Alsafi Long Life Low Fat Milk 1L &amp;times; 12 Pieces</t>
  </si>
  <si>
    <t>https://cdn.mafrservices.com/sys-master-root/h60/h37/11428646944798/60644_main.jpg?im=Resize=1700</t>
  </si>
  <si>
    <t>صافيو حليب بنكهة الفراولة لتقوية المناعة 185 ملل حزمة من 18</t>
  </si>
  <si>
    <t>Nada Full Cream Milk 1L</t>
  </si>
  <si>
    <t>https://cdn.mafrservices.com/sys-master-root/h4f/hf1/34789843173406/694788_main.jpg?im=Resize=1700</t>
  </si>
  <si>
    <t>بلدي فارمز - خليط الزعتر والجبن 500 جرام</t>
  </si>
  <si>
    <t>Safio UHT Strawberry Milk 185mlx18</t>
  </si>
  <si>
    <t>https://cdn.mafrservices.com/pim-content/SAU/media/product/740340/1726575003/740340_main.jpg?im=Resize=1700</t>
  </si>
  <si>
    <t>لونا قالب شبيه جبنة شيدر 1.8كج</t>
  </si>
  <si>
    <t>Balade Farms - Zaatar &amp;amp; Cheese Mix 500g</t>
  </si>
  <si>
    <t>1.8kg</t>
  </si>
  <si>
    <t>https://cdn.mafrservices.com/sys-master-root/h36/h41/9204023394334/503348_main.jpg?im=Resize=1700</t>
  </si>
  <si>
    <t>جبنة عكاوي سورية</t>
  </si>
  <si>
    <t>Luna Analogue Cheddar Cheese Block 1.8kg</t>
  </si>
  <si>
    <t>https://cdn.mafrservices.com/pim-content/SAU/media/product/739621/1725978604/739621_main.jpg?im=Resize=1700</t>
  </si>
  <si>
    <t>بوك جبن كريمي خفيف طبيعي للدهن 200 غرام</t>
  </si>
  <si>
    <t>Akkawi Cheese Syria</t>
  </si>
  <si>
    <t>https://cdn.mafrservices.com/sys-master-root/he2/h35/63885757939742/624321_main.jpg?im=Resize=1700</t>
  </si>
  <si>
    <t>بلدي كرات لبنة مع الزعتر، 500 جرام</t>
  </si>
  <si>
    <t>Puck Soft Cream Cheese Light 200g</t>
  </si>
  <si>
    <t>https://cdn.mafrservices.com/pim-content/SAU/media/product/745096/1735831203/745096_main.jpg?im=Resize=1700</t>
  </si>
  <si>
    <t>فيولايف جبنة كريمية نباتية بالثوم والأعشاب 150 جرام</t>
  </si>
  <si>
    <t>Balade Labneh Balls with Zaatar, 500g</t>
  </si>
  <si>
    <t>https://cdn.mafrservices.com/sys-master-root/h2e/he5/63422841716766/731059_main.jpg?im=Resize=1700</t>
  </si>
  <si>
    <t>أكتيفيا جو وايلد فراولة 280 مل</t>
  </si>
  <si>
    <t>Violife Vegan Creamy Spread With Garlic And Herbs 150g</t>
  </si>
  <si>
    <t>https://cdn.mafrservices.com/sys-master-root/h85/h99/9027118399518/589368_main.jpg?im=Resize=1700</t>
  </si>
  <si>
    <t>المراعي حليب بنكهة الفراولة بوزن 150 ملل</t>
  </si>
  <si>
    <t>Activia Drinkable Strawberry Yogurt 280ml</t>
  </si>
  <si>
    <t>https://cdn.mafrservices.com/sys-master-root/h94/h7f/50520431394846/568321_main.jpg?im=Resize=1700</t>
  </si>
  <si>
    <t>البقرة الضاحكة جبنة مثلثات الاصلية، قابلة للدهن ، 32 قطعة ، 480جرام</t>
  </si>
  <si>
    <t>Almarai Long Life Nijoom Strawberry Flavored Milk 150ml</t>
  </si>
  <si>
    <t>https://cdn.mafrservices.com/sys-master-root/hea/h8a/13222302122014/58647_main.jpg?im=Resize=1700</t>
  </si>
  <si>
    <t>المراعي حليب لونيج لايف كامل الدسم 150 مل</t>
  </si>
  <si>
    <t>La Vache Qui Rit Cheese 32 Portion 480g</t>
  </si>
  <si>
    <t>https://cdn.mafrservices.com/sys-master-root/h09/h17/10674098438174/600988_main.jpg?im=Resize=1700</t>
  </si>
  <si>
    <t>دانيت ماكس حلى الشوكولاتة 130 جرام × 4</t>
  </si>
  <si>
    <t>Al Marai Lonig Life Full Fat Nijoom Plain Milk 150ml</t>
  </si>
  <si>
    <t>130g x 4</t>
  </si>
  <si>
    <t>https://cdn.mafrservices.com/pim-content/SAU/media/product/733294/1722409203/733294_main.jpg?im=Resize=1700</t>
  </si>
  <si>
    <t>المراعي حليب البروتين فراولة وموز 400 مل – 34 جم بروتين – خالي من الدسم – بدون سكر مضاف</t>
  </si>
  <si>
    <t>Danette Max Chocolate Dessert 130g x 4</t>
  </si>
  <si>
    <t>https://cdn.mafrservices.com/pim-content/SAU/media/product/751395/1751974821/751395_main.jpg?im=Resize=1700</t>
  </si>
  <si>
    <t>مزرعة-  جبنة حلومي 250 جرام</t>
  </si>
  <si>
    <t>Almarai Protein Milk Strawberry &amp;amp; Banana 400ml &amp;ndash; 34g Protein &amp;ndash; Fat Free &amp;ndash; No Added Sugar</t>
  </si>
  <si>
    <t>Jordan</t>
  </si>
  <si>
    <t>https://cdn.mafrservices.com/sys-master-root/h07/h2e/49864009121822/685019_main.jpg?im=Resize=1700</t>
  </si>
  <si>
    <t>نادك عيران بالخيار والنعناع شراب اللبن المنعش 225 مل</t>
  </si>
  <si>
    <t>Mazraa Halloumi Cheese 250g</t>
  </si>
  <si>
    <t>https://cdn.mafrservices.com/pim-content/SAU/media/product/738042/1723464603/738042_main.jpg?im=Resize=1700</t>
  </si>
  <si>
    <t>نحول بار كيك فانيليا 23 جرام</t>
  </si>
  <si>
    <t>Nadak Ayran Cucumber &amp;amp; Mint Laban Drink 225ml</t>
  </si>
  <si>
    <t>Nahool</t>
  </si>
  <si>
    <t>23g</t>
  </si>
  <si>
    <t>https://cdn.mafrservices.com/pim-content/SAU/media/product/745658/1737531006/745658_main.jpg?im=Resize=1700</t>
  </si>
  <si>
    <t>الصافي لبنة تركية 180جرام</t>
  </si>
  <si>
    <t>Nahool Vanilla Cake Bar 23g</t>
  </si>
  <si>
    <t>https://cdn.mafrservices.com/sys-master-root/hc3/h56/26993928175646/423397_main.jpg?im=Resize=1700</t>
  </si>
  <si>
    <t>لافاش كوي ريت جبنة  قابلة للدهن 24 قطعة 360 جرام</t>
  </si>
  <si>
    <t>Alsafi Turkish Labneh 180g</t>
  </si>
  <si>
    <t>https://cdn.mafrservices.com/sys-master-root/h6b/hd4/11709569335326/454349_main.jpg?im=Resize=1700</t>
  </si>
  <si>
    <t>بريزيدن جبن شيدر  معالج ومبستر 450 جرام</t>
  </si>
  <si>
    <t>La Vache qui rit Light Spreadable Cheese Triangles,24 portions,360g</t>
  </si>
  <si>
    <t>https://cdn.mafrservices.com/sys-master-root/hfe/h72/12734600347678/650320_main.jpg?im=Resize=1700</t>
  </si>
  <si>
    <t>نادك حليب طازج 200 مل</t>
  </si>
  <si>
    <t>President Cheddar Cheese Processed And Pasteurized 450g</t>
  </si>
  <si>
    <t>https://cdn.mafrservices.com/sys-master-root/h38/h7d/9207711662110/53602_main.jpg?im=Resize=1700</t>
  </si>
  <si>
    <t>فريكو جبن إيمنتال هولندي</t>
  </si>
  <si>
    <t>Nadec Fresh Milk 200ml</t>
  </si>
  <si>
    <t>https://cdn.mafrservices.com/sys-master-root/h47/h65/14570234150942/149983_main.jpg?im=Resize=1700</t>
  </si>
  <si>
    <t>سكوتي باريستا شراب اللوز 1 لتر</t>
  </si>
  <si>
    <t>Frico Emmental Holland Cheese</t>
  </si>
  <si>
    <t>Riso scotti</t>
  </si>
  <si>
    <t>https://cdn.mafrservices.com/sys-master-root/he8/h94/63823210479646/724982_main.jpg?im=Resize=1700</t>
  </si>
  <si>
    <t>المراعي حليب طازج كامل الدسم 360 مل</t>
  </si>
  <si>
    <t>Scotti Barista Almond Drink 1L</t>
  </si>
  <si>
    <t>https://cdn.mafrservices.com/sys-master-root/hd5/h97/50520583766046/610488_main.jpg?im=Resize=1700</t>
  </si>
  <si>
    <t>زاد ماضينا - جبنة ماعز 200 جرام</t>
  </si>
  <si>
    <t>Almarai Fresh Full Fat Milk 360ml</t>
  </si>
  <si>
    <t>https://cdn.mafrservices.com/sys-master-root/h3d/h05/63823208972318/688955_main.jpg?im=Resize=1700</t>
  </si>
  <si>
    <t>الصافي حليب طازج قليل الدسم 1.5 لتر</t>
  </si>
  <si>
    <t>Zad Madina - Bio Goat Cheese 200g</t>
  </si>
  <si>
    <t>https://cdn.mafrservices.com/sys-master-root/hde/h27/26993930174494/550817_main.jpg?im=Resize=1700</t>
  </si>
  <si>
    <t>البقرة الضاحكة، جبنة مثلثات قابلة للدهن،  8 قطع، 120 جرام</t>
  </si>
  <si>
    <t>Alsafi Low Fat Fresh Milk 1.5L</t>
  </si>
  <si>
    <t>https://cdn.mafrservices.com/sys-master-root/h66/hdf/51308362399774/58642_main.jpg?im=Resize=1700</t>
  </si>
  <si>
    <t>غرانا جبنة بادانو 200 جرام</t>
  </si>
  <si>
    <t>La Vache Qui Rit Original Spreadable Cheese Triangles,8 portions, 120g</t>
  </si>
  <si>
    <t>https://cdn.mafrservices.com/sys-master-root/h78/h2f/49411333029918/683823_main.jpg?im=Resize=1700</t>
  </si>
  <si>
    <t>صافيو زبادي بالفراولة، تعزيز المناعة 110 جرام</t>
  </si>
  <si>
    <t>Grana Padano Cheese 200g</t>
  </si>
  <si>
    <t>https://cdn.mafrservices.com/sys-master-root/h3f/h5e/34769729585182/690891_main.jpg?im=Resize=1700</t>
  </si>
  <si>
    <t>المراعي جبن شيدر قليل الدسم 113جرام</t>
  </si>
  <si>
    <t>Safio Strawberry Yoghurt, Immunity Booster, 110g</t>
  </si>
  <si>
    <t>113g</t>
  </si>
  <si>
    <t>https://cdn.mafrservices.com/sys-master-root/ha5/h31/50520418648094/323851_main.jpg?im=Resize=1700</t>
  </si>
  <si>
    <t>جبنة نابلسية</t>
  </si>
  <si>
    <t>Almarai Low Fat Cheddar Cheese 113g</t>
  </si>
  <si>
    <t>https://cdn.mafrservices.com/sys-master-root/hb0/h33/13396383170590/77612_main.jpg?im=Resize=1700</t>
  </si>
  <si>
    <t>جبنة دمياتي</t>
  </si>
  <si>
    <t>Nabulsi Cheese</t>
  </si>
  <si>
    <t>https://cdn.mafrservices.com/sys-master-root/h90/hcf/14662024134686/584259_main.jpg?im=Resize=1700</t>
  </si>
  <si>
    <t>الصافي حليب طازج كامل الدسم 850 مل</t>
  </si>
  <si>
    <t>Domiyati Cheese</t>
  </si>
  <si>
    <t>https://cdn.mafrservices.com/sys-master-root/h17/hc0/26993932763166/605726_main.jpg?im=Resize=1700</t>
  </si>
  <si>
    <t>حليب المراعي بنكهة بالتمر 225مل</t>
  </si>
  <si>
    <t>Alsafi Full Fat Fresh Milk 850ml</t>
  </si>
  <si>
    <t>https://cdn.mafrservices.com/sys-master-root/h80/ha8/50520596873246/678578_main.jpg?im=Resize=1700</t>
  </si>
  <si>
    <t>برايد  جبنة لايت 400 جرام</t>
  </si>
  <si>
    <t>Almarai Date Milk 225ml</t>
  </si>
  <si>
    <t>https://cdn.mafrservices.com/sys-master-root/h03/hf9/15040741048350/8827_main.jpg?im=Resize=1700</t>
  </si>
  <si>
    <t>ندى حليب طويل الأمد بنكهة الشوكولاتة 185مل× 18 قطعة</t>
  </si>
  <si>
    <t>Pride Lite Slice Cheese 400g</t>
  </si>
  <si>
    <t>https://cdn.mafrservices.com/sys-master-root/hd3/hfb/52288828407838/533684_main.jpg?im=Resize=1700</t>
  </si>
  <si>
    <t>لبنة جرشية الأردن</t>
  </si>
  <si>
    <t>Nada Basma Milk Long Life Chocolate Flavored 185ml x18Pieces</t>
  </si>
  <si>
    <t>https://cdn.mafrservices.com/sys-master-root/h3c/hfe/62129494163486/671178_main.jpg?im=Resize=1700</t>
  </si>
  <si>
    <t>بلدي كرات لبنة مع البركة، 500 جرام</t>
  </si>
  <si>
    <t>Labaneh Jarashieh Jordan</t>
  </si>
  <si>
    <t>https://cdn.mafrservices.com/pim-content/SAU/media/product/745098/1735831203/745098_main.jpg?im=Resize=1700</t>
  </si>
  <si>
    <t>بوك جبن للشوي لايت 200 جرام</t>
  </si>
  <si>
    <t>Balade Labneh Balls with Baraka, 500g</t>
  </si>
  <si>
    <t>https://cdn.mafrservices.com/pim-content/SAU/media/product/737995/1723983003/737995_main.jpg?im=Resize=1700</t>
  </si>
  <si>
    <t>لونا حليب طويل الأجل بنكهة الفانيليا 200مل × 18</t>
  </si>
  <si>
    <t>Puck Grill Cheese Light 200g</t>
  </si>
  <si>
    <t>https://cdn.mafrservices.com/sys-master-root/hce/h6b/28290707259422/670667_main.jpg?im=Resize=1700</t>
  </si>
  <si>
    <t>نادك شبيه جبنة مثلثات كابتن 120 جرام ×8 قطع</t>
  </si>
  <si>
    <t>Luna Long Life Vanilla Flavored Milk 200ml &amp;times; 18</t>
  </si>
  <si>
    <t>8 Triangles</t>
  </si>
  <si>
    <t>https://cdn.mafrservices.com/sys-master-root/h0c/h92/12922337558558/327559_main.jpg?im=Resize=1700</t>
  </si>
  <si>
    <t>الربيع حليب كامل الدسم طويل الأجل 1لتر</t>
  </si>
  <si>
    <t>Nadec Analogue Cheese Triangle Captain 120g x8 Portions Pack</t>
  </si>
  <si>
    <t>https://cdn.mafrservices.com/sys-master-root/h9c/hc9/12294787465246/117464_main.jpg?im=Resize=1700</t>
  </si>
  <si>
    <t>أمريكانا كيكة الفانيليا  290 جرام</t>
  </si>
  <si>
    <t>Al Rabie Full Fat Milk Long Life 1L</t>
  </si>
  <si>
    <t>Americana</t>
  </si>
  <si>
    <t>https://cdn.mafrservices.com/sys-master-root/h0a/hc6/62519688003614/516790_main.jpg?im=Resize=1700</t>
  </si>
  <si>
    <t>برايد جبنة  للطهي (شبية الجبنة )( (10 شرائح) 200 جرام</t>
  </si>
  <si>
    <t>Americana Vanilla Pound Cake 300g</t>
  </si>
  <si>
    <t>https://cdn.mafrservices.com/sys-master-root/h66/h51/27344642768926/8825_main.jpg?im=Resize=1700</t>
  </si>
  <si>
    <t>بوك جبنة شيدر شرائح 200 جرام × 10</t>
  </si>
  <si>
    <t>Pride Cooking Analog Cheese (10 Slices) 200g</t>
  </si>
  <si>
    <t>https://cdn.mafrservices.com/sys-master-root/hb3/h73/63885745029150/488997_main.jpg?im=Resize=1700</t>
  </si>
  <si>
    <t>المراعي لبن طازج قليل الدسم مع إضافة فيتامينات 360 مل</t>
  </si>
  <si>
    <t>Puck Cheddar Cheese Slices 200g X 10</t>
  </si>
  <si>
    <t>https://cdn.mafrservices.com/sys-master-root/h6f/h83/50520423399454/505751_main.jpg?im=Resize=1700</t>
  </si>
  <si>
    <t>داري جبنة حلوم ضاري للبرغر 200 جرام</t>
  </si>
  <si>
    <t>Almarai Low Fat Fresh Laban 360ml</t>
  </si>
  <si>
    <t>https://cdn.mafrservices.com/sys-master-root/he9/h9b/10371958669342/554834_main.jpg?im=Resize=1700</t>
  </si>
  <si>
    <t>الصافي حليب طويل الأجل قليل الدسم 1لتر</t>
  </si>
  <si>
    <t>Dari Halloumi Cheese For Burger 200g</t>
  </si>
  <si>
    <t>https://cdn.mafrservices.com/sys-master-root/h0b/h67/26993928601630/47469_main.jpg?im=Resize=1700</t>
  </si>
  <si>
    <t>الصافي لبن طازج قليل الدسم 1.5 لتر</t>
  </si>
  <si>
    <t>Al Safi UHT Milk Low Fat 1L</t>
  </si>
  <si>
    <t>https://cdn.mafrservices.com/sys-master-root/hd8/h13/26993930731550/550815_main.jpg?im=Resize=1700</t>
  </si>
  <si>
    <t>المراعي جبن شيدر قليل الدسم 56 جرام</t>
  </si>
  <si>
    <t>Alsafi Low Fat Fresh Laban 1.5L</t>
  </si>
  <si>
    <t>56g</t>
  </si>
  <si>
    <t>https://cdn.mafrservices.com/sys-master-root/h50/h8d/50520423661598/517751_main.jpg?im=Resize=1700</t>
  </si>
  <si>
    <t>فيولايف جبنه كريمية بيضاء يونانية 150 جرام</t>
  </si>
  <si>
    <t>Almarai Low Fat Cheese 56g</t>
  </si>
  <si>
    <t>https://cdn.mafrservices.com/sys-master-root/h63/h62/63422839881758/731060_main.jpg?im=Resize=1700</t>
  </si>
  <si>
    <t>افونمور كريمة الطبخ 1 لتر</t>
  </si>
  <si>
    <t>Violife Creamy Greek White Cheese 150g</t>
  </si>
  <si>
    <t>Avonmore</t>
  </si>
  <si>
    <t>https://cdn.mafrservices.com/sys-master-root/h64/h45/62907584413726/688979_main.jpg?im=Resize=1700</t>
  </si>
  <si>
    <t>حليب المراعي بنكهة بنكهة الفراولة 225مل</t>
  </si>
  <si>
    <t>Avonmore Cooking Cream 1L</t>
  </si>
  <si>
    <t>https://cdn.mafrservices.com/sys-master-root/h3e/h32/50520594645022/678577_main.jpg?im=Resize=1700</t>
  </si>
  <si>
    <t>صافيو زبادي بالموز 110 جرام</t>
  </si>
  <si>
    <t>Almarai Strawbery Milk 225ml</t>
  </si>
  <si>
    <t>https://cdn.mafrservices.com/sys-master-root/h74/h01/34769728929822/690889_main.jpg?im=Resize=1700</t>
  </si>
  <si>
    <t>الصافي لبن عيران طازج 1.5 لتر</t>
  </si>
  <si>
    <t>Safio Banana Yoghurt 110g</t>
  </si>
  <si>
    <t>https://cdn.mafrservices.com/sys-master-root/hc8/hb1/26993932304414/572684_main.jpg?im=Resize=1700</t>
  </si>
  <si>
    <t>بريزيدنت جبنة إيدام كلاسيكية</t>
  </si>
  <si>
    <t>Al Safi Ayran Laban 1.5L</t>
  </si>
  <si>
    <t>https://cdn.mafrservices.com/sys-master-root/h0d/h81/11892378992670/592879_main.jpg?im=Resize=1700</t>
  </si>
  <si>
    <t>بوك شبيه جبنة كريم مطبوخة قابلة للدهن 130جرام</t>
  </si>
  <si>
    <t>President Classics Edam Cheese (Per Kg)</t>
  </si>
  <si>
    <t>130g</t>
  </si>
  <si>
    <t>https://cdn.mafrservices.com/sys-master-root/hf5/h04/63885870071838/87498_main.jpg?im=Resize=1700</t>
  </si>
  <si>
    <t>نادك حليب طازج بالفراولة 360 مل</t>
  </si>
  <si>
    <t>Puck Cream Analogue Cheese Spread 130g</t>
  </si>
  <si>
    <t>https://cdn.mafrservices.com/sys-master-root/h2a/hf7/15128691834910/491477_main.jpg?im=Resize=1700</t>
  </si>
  <si>
    <t>دانيت ميلك شيك بويفر الشوكولاتة 300 مل</t>
  </si>
  <si>
    <t>Nadec Fresh Milk Strawberry 360ml</t>
  </si>
  <si>
    <t>https://cdn.mafrservices.com/sys-master-root/h35/h56/51995133542430/713726_main.jpg?im=Resize=1700</t>
  </si>
  <si>
    <t>داري(شبيه جبنه)  ابيض  500 جرام</t>
  </si>
  <si>
    <t>Danette Milkshake Chocolate Wafer 300ml</t>
  </si>
  <si>
    <t>https://cdn.mafrservices.com/sys-master-root/h97/h64/11556041130014/553700_main.jpg?im=Resize=1700</t>
  </si>
  <si>
    <t>الفيلق بيض ابيض × 6</t>
  </si>
  <si>
    <t>Dari White Cheese Analogue 500g</t>
  </si>
  <si>
    <t>https://cdn.mafrservices.com/sys-master-root/h10/hc2/13231484502046/547481_main.jpg?im=Resize=1700</t>
  </si>
  <si>
    <t>لورباك زبدة غير مملحة 50جرام</t>
  </si>
  <si>
    <t>Alfailaq White Eggs 6 Pieces</t>
  </si>
  <si>
    <t>https://cdn.mafrservices.com/sys-master-root/h01/h28/9020513615902/419743_main.jpg?im=Resize=1700</t>
  </si>
  <si>
    <t>المراعي جبن شيدر كامل الدسم 56جرام</t>
  </si>
  <si>
    <t>Lurpak Butter Unsalted 50g</t>
  </si>
  <si>
    <t>https://cdn.mafrservices.com/sys-master-root/hff/h83/10674678956062/106552_main.jpg?im=Resize=1700</t>
  </si>
  <si>
    <t>برايد جبنة  خالية من الدهون 400 جرام</t>
  </si>
  <si>
    <t>Almarai Full Fat Cheddar Cheese 56g</t>
  </si>
  <si>
    <t>https://cdn.mafrservices.com/sys-master-root/hed/h75/15040726597662/377313_main.jpg?im=Resize=1700</t>
  </si>
  <si>
    <t>المراعي حليب طويل الأجل بنكهة الفانيليا 150 مل</t>
  </si>
  <si>
    <t>Pride Zero Fat Slice Cheese 400g</t>
  </si>
  <si>
    <t>https://cdn.mafrservices.com/sys-master-root/hc4/ha6/50520433524766/585175_main.jpg?im=Resize=1700</t>
  </si>
  <si>
    <t>كي دي دي حليب كامل الدسم 1لتر</t>
  </si>
  <si>
    <t>Almarai Long Life Nijoom Vanilla Flavoured Milk 150ml</t>
  </si>
  <si>
    <t>https://cdn.mafrservices.com/sys-master-root/hcb/ha3/13148932735006/283598_main.jpg?im=Resize=1700</t>
  </si>
  <si>
    <t>نادك حليب بنكهة الفراولة 185 مل × 18</t>
  </si>
  <si>
    <t>Kdd Full Fat Milk 1L</t>
  </si>
  <si>
    <t>https://cdn.mafrservices.com/sys-master-root/h48/h53/51343280799774/632507_main.jpg?im=Resize=1700</t>
  </si>
  <si>
    <t>نادك حليب بالفراولة 200 مل</t>
  </si>
  <si>
    <t>Nadec Flavoured Milk Strawberry 185ml X18</t>
  </si>
  <si>
    <t>https://cdn.mafrservices.com/sys-master-root/h9e/h65/12820835106846/275102_main.jpg?im=Resize=1700</t>
  </si>
  <si>
    <t>نادك لبنة كاملة الدسم، طويلة الأجل، 375جرام</t>
  </si>
  <si>
    <t>Nadec Fresh Strawberry Milk 200ml</t>
  </si>
  <si>
    <t>375g</t>
  </si>
  <si>
    <t>https://cdn.mafrservices.com/pim-content/SAU/media/product/706584/1739179803/706584_main.jpg?im=Resize=1700</t>
  </si>
  <si>
    <t>بوك صلصة الطماطم مع الكريمة 500مل</t>
  </si>
  <si>
    <t>Nadec Full Fat -Long Life- Labneh, 375g</t>
  </si>
  <si>
    <t>https://cdn.mafrservices.com/sys-master-root/h7c/h28/15071553781790/578033_main.jpg?im=Resize=1700</t>
  </si>
  <si>
    <t>بلدي فارمز - زبادي يوناني قليل الدسم 180 جرام</t>
  </si>
  <si>
    <t>Puck Tomato Sauce With Cream 500ml</t>
  </si>
  <si>
    <t>https://cdn.mafrservices.com/pim-content/SAU/media/product/740353/1726575003/740353_main.jpg?im=Resize=1700</t>
  </si>
  <si>
    <t>فيولايف جبنه  كريمية  أصلية 150 غرام</t>
  </si>
  <si>
    <t>Balade Farms - Greek Yogurt Low Fat 180g</t>
  </si>
  <si>
    <t>Greece</t>
  </si>
  <si>
    <t>https://cdn.mafrservices.com/sys-master-root/hb9/hd7/13926240682014/657179_main.jpg?im=Resize=1700</t>
  </si>
  <si>
    <t>السعودية حليب دبل شوكولاتة 200 مل</t>
  </si>
  <si>
    <t>Violife Original Creamy Cheese 150g</t>
  </si>
  <si>
    <t>https://cdn.mafrservices.com/sys-master-root/h30/he2/51887009333278/721608_main.jpg?im=Resize=1700</t>
  </si>
  <si>
    <t>نادك شبيه جبنة ابيض كاملة الدسم 500 جرام</t>
  </si>
  <si>
    <t>Saudia Double Chocolate Milk 200ml</t>
  </si>
  <si>
    <t>https://cdn.mafrservices.com/sys-master-root/hf7/h95/12271090761758/511121_main.jpg?im=Resize=1700</t>
  </si>
  <si>
    <t>السعودية حليب طويل الأجل كامل الدسم 2 لتر × 6 قطع</t>
  </si>
  <si>
    <t>Nadec Analogue Feta White Cheese Full Fat 500g</t>
  </si>
  <si>
    <t>https://cdn.mafrservices.com/sys-master-root/hd5/h6c/11006741446686/519113_main.jpg?im=Resize=1700</t>
  </si>
  <si>
    <t>لونا جبنة شيدر مطبوخة 113جرام</t>
  </si>
  <si>
    <t>Saudia Long Life Full Fat Milk 2l &amp;times; 6 Pieces</t>
  </si>
  <si>
    <t>https://cdn.mafrservices.com/sys-master-root/h05/h43/48473291816990/58608_main.jpg?im=Resize=1700</t>
  </si>
  <si>
    <t>السعودية حليب بالفراولة 200 ملل</t>
  </si>
  <si>
    <t>Luna Cheddar Cheese 113g</t>
  </si>
  <si>
    <t>https://cdn.mafrservices.com/sys-master-root/hba/h70/49823129436190/77057_main.jpg?im=Resize=1700</t>
  </si>
  <si>
    <t>السعودية حليب طويل الأجل قليل الدسم 200 مل</t>
  </si>
  <si>
    <t>Saudia Long Life Strawberry Milk 200ml</t>
  </si>
  <si>
    <t>https://cdn.mafrservices.com/sys-master-root/h8a/h77/49823129632798/77054_main.jpg?im=Resize=1700</t>
  </si>
  <si>
    <t>جبن الغنم الأبيض البلغاري</t>
  </si>
  <si>
    <t>Saudia Long Life Low Fat Milk 200ml</t>
  </si>
  <si>
    <t>https://cdn.mafrservices.com/sys-master-root/h99/h65/33685565407262/676931_main.jpg?im=Resize=1700</t>
  </si>
  <si>
    <t>المراعي شراب زيادي بروتين بطعم المانجو 250مل (25جرام من البروتين)</t>
  </si>
  <si>
    <t>Bulgarian white sheep cheese</t>
  </si>
  <si>
    <t>250ml</t>
  </si>
  <si>
    <t>https://cdn.mafrservices.com/sys-master-root/h24/hb4/61634198568990/725737_main.jpg?im=Resize=1700</t>
  </si>
  <si>
    <t>بوك صلصة البشاميل بالجبنة 500 مل</t>
  </si>
  <si>
    <t>Al Marai Protein Yoghurt Mango Drink 250ml (25g Of Protein)</t>
  </si>
  <si>
    <t>https://cdn.mafrservices.com/sys-master-root/h25/h14/63885752467486/578034_main.jpg?im=Resize=1700</t>
  </si>
  <si>
    <t>زاد ماضينا - جبنة فيتا بيو 150 جرام</t>
  </si>
  <si>
    <t>Puck Bechamel Sauce With Cheese 500ml</t>
  </si>
  <si>
    <t>https://cdn.mafrservices.com/sys-master-root/h9d/h16/63823208448030/688958_main.jpg?im=Resize=1700</t>
  </si>
  <si>
    <t>حليب السعودية طويل الأجل بنكهة الفراولة 125مل</t>
  </si>
  <si>
    <t>Zad Madina - Bio Feta Cheese 150g</t>
  </si>
  <si>
    <t>https://cdn.mafrservices.com/sys-master-root/h19/hd2/44240649781278/671731_main.jpg?im=Resize=1700</t>
  </si>
  <si>
    <t>فرشلي جبنة رومانو مبشورة  235 جرام</t>
  </si>
  <si>
    <t>Saudia Long Life Strawberry Milk 125ml</t>
  </si>
  <si>
    <t>Freshly</t>
  </si>
  <si>
    <t>https://cdn.mafrservices.com/sys-master-root/h86/hcf/9314792013854/419840_main.jpg?im=Resize=1700</t>
  </si>
  <si>
    <t>نادك حليب غزل البنات معقم بدرجة حرارة عالية 125 مل</t>
  </si>
  <si>
    <t>Freshly Grated Romano Cheese 235g</t>
  </si>
  <si>
    <t>125ml</t>
  </si>
  <si>
    <t>https://cdn.mafrservices.com/pim-content/SAU/media/product/744043/1741244403/744043_main.jpg?im=Resize=1700</t>
  </si>
  <si>
    <t>نادك حليب طويل الأجل بنكهة الشوكولاتة 125مل</t>
  </si>
  <si>
    <t>Nadec UHT Cotton Candy Milk 125ml</t>
  </si>
  <si>
    <t>125 ml</t>
  </si>
  <si>
    <t>https://cdn.mafrservices.com/pim-content/SAU/media/product/632518/1736861403/632518_main.jpg?im=Resize=1700</t>
  </si>
  <si>
    <t>يوبرو بروتين حليب الفراولة 300 مل</t>
  </si>
  <si>
    <t>Nadec UHT Milk Chocolate Flavored 125ml</t>
  </si>
  <si>
    <t>https://cdn.mafrservices.com/pim-content/SAU/media/product/748987/1745163003/748987_main.jpg?im=Resize=1700</t>
  </si>
  <si>
    <t>نادك زبادي طازج خالي الدسم 170 جرام</t>
  </si>
  <si>
    <t>Yopro Protein Strawberry Milk 300ml</t>
  </si>
  <si>
    <t>https://cdn.mafrservices.com/sys-master-root/h30/h24/9323310252062/406299_main.jpg?im=Resize=1700</t>
  </si>
  <si>
    <t>لونا جبنة ابيض  900جرام</t>
  </si>
  <si>
    <t>Nadec Skimmed Fresh Yoghurt 170g</t>
  </si>
  <si>
    <t>https://cdn.mafrservices.com/sys-master-root/h02/h8f/13148934570014/373504_main.jpg?im=Resize=1700</t>
  </si>
  <si>
    <t>ندى حليب طازج كامل الدسم 800 مل</t>
  </si>
  <si>
    <t>Luna White Cream Cheese 900g</t>
  </si>
  <si>
    <t>https://cdn.mafrservices.com/sys-master-root/hc5/ha4/10276342726686/60614_main.jpg?im=Resize=1700</t>
  </si>
  <si>
    <t>تلال غوار مراصيع 250 جرام</t>
  </si>
  <si>
    <t>Nada Fresh Milk Full Fat 800ml</t>
  </si>
  <si>
    <t>https://cdn.mafrservices.com/pim-content/SAU/media/product/607925/1737269177/607925_main.jpg?im=Resize=1700</t>
  </si>
  <si>
    <t>السعودية حليب موز  200 مل × 15 + 3 مجاناً</t>
  </si>
  <si>
    <t>Telal Ghawar Marsia, 250g</t>
  </si>
  <si>
    <t>https://cdn.mafrservices.com/sys-master-root/h9a/h90/50229197897758/599596_main.jpg?im=Resize=1700</t>
  </si>
  <si>
    <t>كي دي دي حليب طويل الأجل بنكهة الفراولة 180 مل × 18</t>
  </si>
  <si>
    <t>Saudia Banana Milk 200ml &amp;times; 15 + 3 Free</t>
  </si>
  <si>
    <t>https://cdn.mafrservices.com/sys-master-root/h9f/h81/51509337194526/104264_main.jpg?im=Resize=1700</t>
  </si>
  <si>
    <t>السنبلة جبنة موزاريلا مبشورة  200 جرام</t>
  </si>
  <si>
    <t>Kdd Long Life Strawberry Flavored Milk Long Life 180ml &amp;times; 18</t>
  </si>
  <si>
    <t>https://cdn.mafrservices.com/sys-master-root/h7e/ha2/14585740918814/570543_main.jpg?im=Resize=1700</t>
  </si>
  <si>
    <t>برايد كريمة خفق 1 لتر</t>
  </si>
  <si>
    <t>Sunbulah Shredded Mozzarella Cheese 200g</t>
  </si>
  <si>
    <t>https://cdn.mafrservices.com/sys-master-root/hde/h65/13513782820894/639797_main.jpg?im=Resize=1700</t>
  </si>
  <si>
    <t>ندى حليب طويل الأجل قليل الدسم 1لتر</t>
  </si>
  <si>
    <t>Pride Whipping Cream 1L</t>
  </si>
  <si>
    <t>https://cdn.mafrservices.com/sys-master-root/h65/h85/9190360416286/60648_main.jpg?im=Resize=1700</t>
  </si>
  <si>
    <t>الصافي شرائح جبنة ساندويتش 400 جرام</t>
  </si>
  <si>
    <t>Nada Low Fat Milk 1L</t>
  </si>
  <si>
    <t>https://cdn.mafrservices.com/pim-content/SAU/media/product/742414/1745500204/742414_main.jpg?im=Resize=1700</t>
  </si>
  <si>
    <t>كي دي دي حليب موز طويل الأجل 180 مل × 18 قطعة</t>
  </si>
  <si>
    <t>Alsafi Cheese Slices Sandwich 400g</t>
  </si>
  <si>
    <t>https://cdn.mafrservices.com/sys-master-root/h13/h0f/12785342873630/637569_main.jpg?im=Resize=1700</t>
  </si>
  <si>
    <t>بوك جبنة شرائح قليلة الدسم  - 200 جرام</t>
  </si>
  <si>
    <t>Kdd Long Life Banana Milk 180ml &amp;times; 18 Pieces</t>
  </si>
  <si>
    <t>https://cdn.mafrservices.com/sys-master-root/hb5/h4b/63885748109342/488998_main.jpg?im=Resize=1700</t>
  </si>
  <si>
    <t>أمريكانا كيكة الشوكولاتة 290 جرام</t>
  </si>
  <si>
    <t>Puck Slice Cheese Low Fat 200g</t>
  </si>
  <si>
    <t>https://cdn.mafrservices.com/sys-master-root/hbe/hb4/62519688527902/516792_main.jpg?im=Resize=1700</t>
  </si>
  <si>
    <t>أكتيفيا لبن كامل الدسم 375 مل</t>
  </si>
  <si>
    <t>Americana Chocolate Pound Cake 290g</t>
  </si>
  <si>
    <t>375ml</t>
  </si>
  <si>
    <t>https://cdn.mafrservices.com/sys-master-root/hca/hbc/26993924538398/322758_main.jpg?im=Resize=1700</t>
  </si>
  <si>
    <t>السنبلة جبنة حلوم 250 جرام</t>
  </si>
  <si>
    <t>Activia Full Fat Fresh Laban 375ml</t>
  </si>
  <si>
    <t>https://cdn.mafrservices.com/sys-master-root/h3b/ha9/14585740722206/570548_main.jpg?im=Resize=1700</t>
  </si>
  <si>
    <t>نادك حليب بالشوكولاتة 200 مل</t>
  </si>
  <si>
    <t>Sunbulah Halloumi Cheese 250g</t>
  </si>
  <si>
    <t>https://cdn.mafrservices.com/sys-master-root/h76/h5e/12820835336222/275104_main.jpg?im=Resize=1700</t>
  </si>
  <si>
    <t>المراعي جبن شيدر كامل الدسم 113جرام</t>
  </si>
  <si>
    <t>Nadec Chocolate Milk 200ml</t>
  </si>
  <si>
    <t>https://cdn.mafrservices.com/sys-master-root/h62/ha5/50520417370142/195654_main.jpg?im=Resize=1700</t>
  </si>
  <si>
    <t>نادك شرائح جبنة قليلة الدسم 200 جرام × 4</t>
  </si>
  <si>
    <t>Almarai Cheddar Cheese 113g</t>
  </si>
  <si>
    <t>https://cdn.mafrservices.com/sys-master-root/hec/h00/17487586066462/632537_main.jpg?im=Resize=1700</t>
  </si>
  <si>
    <t>المراعي جبنة كريمية 432 غرام حزمة من 2</t>
  </si>
  <si>
    <t>Nadec Cheese Slices Low Fat 200g X4</t>
  </si>
  <si>
    <t>432g x2</t>
  </si>
  <si>
    <t>https://cdn.mafrservices.com/sys-master-root/h5f/h1b/12629702606878/599205_main.jpg?im=Resize=1700</t>
  </si>
  <si>
    <t>برايد كريمة الطبخ  1 لتر</t>
  </si>
  <si>
    <t>Almarai Cream Cheese 432g Pack of 2</t>
  </si>
  <si>
    <t>https://cdn.mafrservices.com/sys-master-root/hae/h6c/13513782624286/639798_main.jpg?im=Resize=1700</t>
  </si>
  <si>
    <t>فرسانا زبدة غير مملحة 100جرام</t>
  </si>
  <si>
    <t>Pride Cooking Cream 1L</t>
  </si>
  <si>
    <t>https://cdn.mafrservices.com/sys-master-root/h93/h4d/14570234839070/555654_main.jpg?im=Resize=1700</t>
  </si>
  <si>
    <t>السعودية حليب بالشوكولاتة والكراميل 200 مل</t>
  </si>
  <si>
    <t>Forsana Unsalted Goat Butter 100g</t>
  </si>
  <si>
    <t>https://cdn.mafrservices.com/pim-content/SAU/media/product/748681/1747573204/748681_main.jpg?im=Resize=1700</t>
  </si>
  <si>
    <t>نادك حليب تافي معقم بدرجة حرارة عالية 125 مل ×18</t>
  </si>
  <si>
    <t>Saudia Choco Caramel Milk 200ml</t>
  </si>
  <si>
    <t>125ml x18</t>
  </si>
  <si>
    <t>https://cdn.mafrservices.com/pim-content/SAU/media/product/744042/1741244403/744042_main.jpg?im=Resize=1700</t>
  </si>
  <si>
    <t>فرسانا   (شبيه جبنة)جبنة سلايس 200 جرام × 2 + 1 مجاناً</t>
  </si>
  <si>
    <t>Nadec UHT Toffee Milk 125ml x18</t>
  </si>
  <si>
    <t>https://cdn.mafrservices.com/sys-master-root/hc9/hed/63026591694878/436813_main.jpg?im=Resize=1700</t>
  </si>
  <si>
    <t>نادك الهلال حليب كامل الدسم طويل الأجل 185 مل</t>
  </si>
  <si>
    <t>Forsana Slice Analogue Chees 200g X 2 + 1 Free</t>
  </si>
  <si>
    <t>185ml</t>
  </si>
  <si>
    <t>https://cdn.mafrservices.com/pim-content/SAU/media/product/746564/1739350803/746564_main.jpg?im=Resize=1700</t>
  </si>
  <si>
    <t>برايد جبنة  شرائح 200 جرام</t>
  </si>
  <si>
    <t>Nadec Alhilal UHT Long Life Full Fresh Milk 185ml</t>
  </si>
  <si>
    <t>https://cdn.mafrservices.com/sys-master-root/h9b/h56/14686156816414/8828_main.jpg?im=Resize=1700</t>
  </si>
  <si>
    <t>السعودية حليب بالتمر طويل الأجل 200 مل</t>
  </si>
  <si>
    <t>Pride Zero Fat Cheese Slices 200g</t>
  </si>
  <si>
    <t>https://cdn.mafrservices.com/sys-master-root/h92/h8d/50229195440158/575373_main.jpg?im=Resize=1700</t>
  </si>
  <si>
    <t>نادك لبنة كاملة الدسم 700جرام</t>
  </si>
  <si>
    <t>Saudia Long Life Milk With Date 200ml</t>
  </si>
  <si>
    <t>https://cdn.mafrservices.com/sys-master-root/hd3/hff/27009392967710/665379_main.jpg?im=Resize=1700</t>
  </si>
  <si>
    <t>المراعي حليب بنكهة الفراولة 200 ملل</t>
  </si>
  <si>
    <t>Nadec Labneh Full Fat 700g</t>
  </si>
  <si>
    <t>https://cdn.mafrservices.com/sys-master-root/hdf/hfd/50520429363230/551161_main.jpg?im=Resize=1700</t>
  </si>
  <si>
    <t>فريكو جبنة جودا بالكمون والجبنة</t>
  </si>
  <si>
    <t>Almarai Long Life Strawberry Milk 200ml</t>
  </si>
  <si>
    <t>https://cdn.mafrservices.com/sys-master-root/he0/h03/13513788325918/84878_main.jpg?im=Resize=1700</t>
  </si>
  <si>
    <t>بريزيدنت كريمة الطبخ  1 لتر</t>
  </si>
  <si>
    <t>Frico Selection, Cumin Gouda Cheese</t>
  </si>
  <si>
    <t>Malaysia</t>
  </si>
  <si>
    <t>https://cdn.mafrservices.com/sys-master-root/h89/he9/10371957194782/542600_main.jpg?im=Resize=1700</t>
  </si>
  <si>
    <t>المراعي جبنة مثلثات 120 جرام × 8 قطع</t>
  </si>
  <si>
    <t>President Half Cream for thickening &amp;amp; cooking 1L</t>
  </si>
  <si>
    <t>https://cdn.mafrservices.com/sys-master-root/he8/h38/50520426545182/531407_main.jpg?im=Resize=1700</t>
  </si>
  <si>
    <t>نادك لبن كامل الدسم 340 مل</t>
  </si>
  <si>
    <t>Almarai Triangles Processed Cheese 8 Portions 120g</t>
  </si>
  <si>
    <t>https://cdn.mafrservices.com/pim-content/SAU/media/product/664118/1739179803/664118_main.jpg?im=Resize=1700</t>
  </si>
  <si>
    <t>بريزيدنت جبنة مربعات، عبوة 12 قطعة، 168 جرام</t>
  </si>
  <si>
    <t>Nadec Laban Full Fat 340ml</t>
  </si>
  <si>
    <t>168g</t>
  </si>
  <si>
    <t>https://cdn.mafrservices.com/pim-content/SAU/media/product/742734/1734012004/742734_main.jpg?im=Resize=1700</t>
  </si>
  <si>
    <t>السعودية حليب خالي الدسم 200 مل</t>
  </si>
  <si>
    <t>PRESIDENT Squares Cheese, Pack of 12, 168g</t>
  </si>
  <si>
    <t>https://cdn.mafrservices.com/sys-master-root/h26/h51/49823127994398/137708_main.jpg?im=Resize=1700</t>
  </si>
  <si>
    <t>اكتيميل مشروب ألبان بالليمون والزنجبيل 93 مل × 4</t>
  </si>
  <si>
    <t>Saudia Uht Skimmed Milk 200ml</t>
  </si>
  <si>
    <t>https://cdn.mafrservices.com/sys-master-root/h6f/haa/64122680999966/726720_main.jpg?im=Resize=1700</t>
  </si>
  <si>
    <t>شبيه جبنة فيتا أوروبية</t>
  </si>
  <si>
    <t>Actimel Lemon &amp;amp; Ginger Dairy Drink 93ml x4</t>
  </si>
  <si>
    <t>https://cdn.mafrservices.com/sys-master-root/hd8/h28/51176330526750/77334_main.jpg?im=Resize=1700</t>
  </si>
  <si>
    <t>أمول زبدة مملحة مبسترة 100 جرام</t>
  </si>
  <si>
    <t>Analogue Feta Cheese - Europe</t>
  </si>
  <si>
    <t>Amul</t>
  </si>
  <si>
    <t>https://cdn.mafrservices.com/sys-master-root/ha6/hd8/63422434312222/622249_main.jpg?im=Resize=1700</t>
  </si>
  <si>
    <t>نادك حليب طويل الأجل بنكهة الفانيليا 125 مل</t>
  </si>
  <si>
    <t>Amul Pasteurised Salted Butter 100g</t>
  </si>
  <si>
    <t>https://cdn.mafrservices.com/pim-content/SAU/media/product/632530/1736861403/632530_main.jpg?im=Resize=1700</t>
  </si>
  <si>
    <t>سفن دايز كيك الشوكولاتة 400جرام</t>
  </si>
  <si>
    <t>Nadec Long Life Milk Vanilla 125ml</t>
  </si>
  <si>
    <t>40gx10</t>
  </si>
  <si>
    <t>https://cdn.mafrservices.com/sys-master-root/h52/h23/52511829688350/700575_main.jpg?im=Resize=1700</t>
  </si>
  <si>
    <t>السعودية حليب بالمانجو 200 مل × 15 + 3 مجانًا</t>
  </si>
  <si>
    <t>7Days Chocolate Cake Bar 400g</t>
  </si>
  <si>
    <t>https://cdn.mafrservices.com/pim-content/SAU/media/product/751864/1753087682/751864_main.jpg?im=Resize=1700</t>
  </si>
  <si>
    <t>باسكن روبينز حليب بطعم الفانيلا، 180 مل</t>
  </si>
  <si>
    <t>Saudia Mango Milk 200ml &amp;times; 15 + 3 Free</t>
  </si>
  <si>
    <t>Baskin robbins</t>
  </si>
  <si>
    <t>https://cdn.mafrservices.com/pim-content/SAU/media/product/744249/1736160003/744249_main.jpg?im=Resize=1700</t>
  </si>
  <si>
    <t xml:space="preserve"> ابوالولد جبنة مثلثات ، 24 قطعة ، 360جرام</t>
  </si>
  <si>
    <t>Baskin Robbins Vanilla Milk, 180ml</t>
  </si>
  <si>
    <t>https://cdn.mafrservices.com/sys-master-root/hce/h52/46392699944990/699081_main.jpg?im=Resize=1700</t>
  </si>
  <si>
    <t>فيولايف جبنة  نباتي موزاريلا 200 جرام</t>
  </si>
  <si>
    <t>Regal Picon Triangle Cheese 24 Portion 360g</t>
  </si>
  <si>
    <t>https://cdn.mafrservices.com/sys-master-root/hd7/hc5/13926241435678/657181_main.jpg?im=Resize=1700</t>
  </si>
  <si>
    <t>السعودية حمص بالفلفل الحار 215 جرام</t>
  </si>
  <si>
    <t>Violife Grated Grated Mozzarella Cheese 200g</t>
  </si>
  <si>
    <t>https://cdn.mafrservices.com/sys-master-root/h31/he8/51847344160798/723268_main.jpg?im=Resize=1700</t>
  </si>
  <si>
    <t>مرادبك جبنة حلومي 4 شرائح 200 جرام</t>
  </si>
  <si>
    <t>Saudia Hummus Dip Chili 215g</t>
  </si>
  <si>
    <t>Muratbey</t>
  </si>
  <si>
    <t>https://cdn.mafrservices.com/sys-master-root/he0/hb8/9389190086686/600302_main.jpg?im=Resize=1700</t>
  </si>
  <si>
    <t>أمريكانا كيكة الرخامي  290 جرام</t>
  </si>
  <si>
    <t>Muratbey halloumi cheese 4 sliced 200 g</t>
  </si>
  <si>
    <t>https://cdn.mafrservices.com/sys-master-root/hcd/hba/62519688396830/516794_main.jpg?im=Resize=1700</t>
  </si>
  <si>
    <t>ديليزيا جبنة شيدر برتقالية</t>
  </si>
  <si>
    <t>Americana Quality Marble Pound Cake 300g</t>
  </si>
  <si>
    <t>https://cdn.mafrservices.com/pim-content/SAU/media/product/750810/1750599003/750810_main.jpg?im=Resize=1700</t>
  </si>
  <si>
    <t>باربلز بروتين ميلك شيك، فراولة330 مل</t>
  </si>
  <si>
    <t>Delizia Cheddar Orange</t>
  </si>
  <si>
    <t>Sweden</t>
  </si>
  <si>
    <t>https://cdn.mafrservices.com/pim-content/SAU/media/product/678544/1726989006/678544_main.jpg?im=Resize=1700</t>
  </si>
  <si>
    <t>نادك حليب طازج مانجو 360 مل</t>
  </si>
  <si>
    <t>Barebells - Protein Milkshake, Strawberry, 330ml</t>
  </si>
  <si>
    <t>https://cdn.mafrservices.com/pim-content/SAU/media/product/491478/1739179803/491478_main.jpg?im=Resize=1700</t>
  </si>
  <si>
    <t>كي دي دي حليب طويل الأجل 180مل</t>
  </si>
  <si>
    <t>Nadec Fresh Milk Mango 360ml</t>
  </si>
  <si>
    <t>https://cdn.mafrservices.com/sys-master-root/h41/h81/29793270562846/104273_main.jpg?im=Resize=1700</t>
  </si>
  <si>
    <t>الصافي قشطة 100 جرام</t>
  </si>
  <si>
    <t>Kdd Long Life Vanilla Milk 180ml</t>
  </si>
  <si>
    <t>https://cdn.mafrservices.com/sys-master-root/h3b/hca/26993929420830/47454_main.jpg?im=Resize=1700</t>
  </si>
  <si>
    <t>السعودية حليب بنكهة الفانيليا 125 مل</t>
  </si>
  <si>
    <t>Alsafi Fresh Cream 100g</t>
  </si>
  <si>
    <t>https://cdn.mafrservices.com/sys-master-root/hbb/h03/49823128354846/699721_main.jpg?im=Resize=1700</t>
  </si>
  <si>
    <t>المراعي حليب طازج قليل الدسم 500 مل</t>
  </si>
  <si>
    <t>Saudia Vanilla Milk 125ml</t>
  </si>
  <si>
    <t>https://cdn.mafrservices.com/sys-master-root/hc4/hfe/50520416813086/106481_main.jpg?im=Resize=1700</t>
  </si>
  <si>
    <t>المراعي متبل مدخن 250جرام</t>
  </si>
  <si>
    <t>Almarai Low Fat Fresh Milk 500ml</t>
  </si>
  <si>
    <t>https://cdn.mafrservices.com/sys-master-root/ha5/hde/50520602902558/692181_main.jpg?im=Resize=1700</t>
  </si>
  <si>
    <t>ندى حليب طويل الأجل قليل الدسم 1 لتر × 12 قطعة</t>
  </si>
  <si>
    <t>Almarai Smoky Mutabal 250g</t>
  </si>
  <si>
    <t>https://cdn.mafrservices.com/sys-master-root/h84/ha8/10276342857758/60650_main.jpg?im=Resize=1700</t>
  </si>
  <si>
    <t>المراعي حليب قليل الدسم طويل الأجل 200مل</t>
  </si>
  <si>
    <t>Nada Long Life Low Fat Milk 1L &amp;times; 12 Pieces</t>
  </si>
  <si>
    <t>https://cdn.mafrservices.com/sys-master-root/ha7/h3c/50520426414110/542663_main.jpg?im=Resize=1700</t>
  </si>
  <si>
    <t>المراعي لبن بنكهة المانجو 340 مل</t>
  </si>
  <si>
    <t>Almarai Uht Low Fat Milk 200ml</t>
  </si>
  <si>
    <t>https://cdn.mafrservices.com/sys-master-root/h3b/h82/50520431427614/572703_main.jpg?im=Resize=1700</t>
  </si>
  <si>
    <t>نادك حليب طويل الأجل بالفراولة 125 مل</t>
  </si>
  <si>
    <t>Almarai Flavored Laban Mango 340ml</t>
  </si>
  <si>
    <t>https://cdn.mafrservices.com/pim-content/SAU/media/product/632520/1736861403/632520_main.jpg?im=Resize=1700</t>
  </si>
  <si>
    <t>صافيو حليب طويل الأجل  بنكهة الفانيليا185 مل × 18</t>
  </si>
  <si>
    <t>Nadec Long Life Milk Strawberry 125ml</t>
  </si>
  <si>
    <t>https://cdn.mafrservices.com/sys-master-root/hb6/h8a/34789842255902/694789_main.jpg?im=Resize=1700</t>
  </si>
  <si>
    <t>المراعي جبنة بيضاء كريمية قايلة للدهن 120جرام</t>
  </si>
  <si>
    <t>Safio Milk Vanilla 185ml X18</t>
  </si>
  <si>
    <t>https://cdn.mafrservices.com/sys-master-root/h52/hb4/50520433131550/589865_main.jpg?im=Resize=1700</t>
  </si>
  <si>
    <t>ناهول ميني كيك رول فانيليا 23 جرام</t>
  </si>
  <si>
    <t>Almarai Creamy Cheese 120g</t>
  </si>
  <si>
    <t>https://cdn.mafrservices.com/pim-content/SAU/media/product/745657/1737531006/745657_main.jpg?im=Resize=1700</t>
  </si>
  <si>
    <t>دانيت حلى بودينج بطعم غزل البنات 75 جرام</t>
  </si>
  <si>
    <t>Nahool Mini Cake Roll Vanilla 23g</t>
  </si>
  <si>
    <t>https://cdn.mafrservices.com/sys-master-root/h17/hee/26993933058078/604666_main.jpg?im=Resize=1700</t>
  </si>
  <si>
    <t>الربيع حليب شوكولاتة بسكويت 125 مل × 18</t>
  </si>
  <si>
    <t>Danette Cotton Candy Pudding Dessert 75g</t>
  </si>
  <si>
    <t>https://cdn.mafrservices.com/pim-content/SAU/media/product/708414/1721311204/708414_main.jpg?im=Resize=1700</t>
  </si>
  <si>
    <t>المراعي جبنه  كريمية  مطبوخة 1.1 كغ</t>
  </si>
  <si>
    <t>Alrabie Chocolate Biscuit Milk 125ml X18</t>
  </si>
  <si>
    <t>1.1kg</t>
  </si>
  <si>
    <t>https://cdn.mafrservices.com/sys-master-root/h27/h38/50520574918686/601705_main.jpg?im=Resize=1700</t>
  </si>
  <si>
    <t>السعودية حليب بالموز طويل الأجل 200 مل × 18</t>
  </si>
  <si>
    <t>Almarai Processed Cream Cheese 1.1kg</t>
  </si>
  <si>
    <t>https://cdn.mafrservices.com/sys-master-root/h0b/he3/28175037628446/128944_main.jpg?im=Resize=1700</t>
  </si>
  <si>
    <t>المراعي جبنة مربعات 12 قطعة × 3 - 216 جرام</t>
  </si>
  <si>
    <t>Saudia Long Life Banana Milk 200ml &amp;times;18</t>
  </si>
  <si>
    <t>https://cdn.mafrservices.com/sys-master-root/ha8/h6e/14570236182558/599206_main.jpg?im=Resize=1700</t>
  </si>
  <si>
    <t>المراعي حليب طويل الأجل بنكهة الفراولة 200 مل × 18</t>
  </si>
  <si>
    <t>Marai Square Cheese 12 Pieces &amp;times; 3 - 216g</t>
  </si>
  <si>
    <t>https://cdn.mafrservices.com/sys-master-root/h03/h65/13698604204062/551162_main.jpg?im=Resize=1700</t>
  </si>
  <si>
    <t>لونا قهوة مثلجة، إسبريسو بروتيني، 240 مل</t>
  </si>
  <si>
    <t>Almarai Long Life Strawberry Flavored Milk 200ml &amp;times; 18 Pieces</t>
  </si>
  <si>
    <t>240ml</t>
  </si>
  <si>
    <t>https://cdn.mafrservices.com/pim-content/SAU/media/product/745025/1737538204/745025_main.jpg?im=Resize=1700</t>
  </si>
  <si>
    <t>دومتي بلس كاملة الدسم شبيه جبنة بيضاء فيتا بطعم الزيتون – غنية بالحليب – 125 جرام</t>
  </si>
  <si>
    <t>Luna Iced Coffee, Protein Espresso, 240ml</t>
  </si>
  <si>
    <t>https://cdn.mafrservices.com/pim-content/SAU/media/product/748814/1753105511/748814_main.jpg?im=Resize=1700</t>
  </si>
  <si>
    <t>السنبلة جبنة موزاريلا مبشورة  1 كجم</t>
  </si>
  <si>
    <t>Domti Plus Full Cream White Cheese Analogue Feta with Olive Flavor &amp;ndash; Rich in Milk &amp;ndash; 125g</t>
  </si>
  <si>
    <t>https://cdn.mafrservices.com/sys-master-root/hd3/ha5/14585740820510/570545_main.jpg?im=Resize=1700</t>
  </si>
  <si>
    <t>نادك الهلال حليب كامل الدسم بطعم الفراولة 185 مل</t>
  </si>
  <si>
    <t>Sunbulah Mozzarella Shredded 1kg</t>
  </si>
  <si>
    <t>https://cdn.mafrservices.com/pim-content/SAU/media/product/746566/1739350803/746566_main.jpg?im=Resize=1700</t>
  </si>
  <si>
    <t>جبنة بيضاء بلغارية</t>
  </si>
  <si>
    <t>Nadec Alhilal UHT Long Life Strawberry Flavored Milk 185ml</t>
  </si>
  <si>
    <t>https://cdn.mafrservices.com/sys-master-root/h95/h68/32322421424158/676930_main.jpg?im=Resize=1700</t>
  </si>
  <si>
    <t>كي دي دي حليب طويل الأمد كهة الفراولة 180 ملل</t>
  </si>
  <si>
    <t>Bulgarian White Cow Cheese</t>
  </si>
  <si>
    <t>https://cdn.mafrservices.com/sys-master-root/h38/hf2/29793268989982/104262_main.jpg?im=Resize=1700</t>
  </si>
  <si>
    <t>السعودية بابا غنوج 200 جرام</t>
  </si>
  <si>
    <t>KDD Strawberry Flavored Milk 180ml</t>
  </si>
  <si>
    <t>https://cdn.mafrservices.com/sys-master-root/h71/hde/51887009464350/723269_main.jpg?im=Resize=1700</t>
  </si>
  <si>
    <t>دانيت ميلك شيك فانيليا و شوكولاتة 300 مل</t>
  </si>
  <si>
    <t>Saudia Baba Ghanoj 200g</t>
  </si>
  <si>
    <t>https://cdn.mafrservices.com/sys-master-root/h06/h5d/51995133345822/713725_main.jpg?im=Resize=1700</t>
  </si>
  <si>
    <t>نادك لبنة الزعتر المميزة 180 جرام</t>
  </si>
  <si>
    <t>Danette Milkshake Vanilla And Chocolate 300ml</t>
  </si>
  <si>
    <t>https://cdn.mafrservices.com/pim-content/SAU/media/product/747847/1745238604/747847_main.jpg?im=Resize=1700</t>
  </si>
  <si>
    <t>بوك جبنة سلايس 200 جرام</t>
  </si>
  <si>
    <t>Nadec Premium Zaatar Labneh 180g</t>
  </si>
  <si>
    <t>https://cdn.mafrservices.com/sys-master-root/h83/h7a/63885745225758/488996_main.jpg?im=Resize=1700</t>
  </si>
  <si>
    <t>دانيت ماكس حلى بالفانيليا 130 جرام × 4</t>
  </si>
  <si>
    <t>Puck Slice Cheese Regular 200g</t>
  </si>
  <si>
    <t>https://cdn.mafrservices.com/pim-content/SAU/media/product/733295/1722409203/733295_main.jpg?im=Resize=1700</t>
  </si>
  <si>
    <t>الوليمة - شبيه جبنة الموزاريلا</t>
  </si>
  <si>
    <t>Danette Max Vanilla Dessert 130g x 4</t>
  </si>
  <si>
    <t>https://cdn.mafrservices.com/sys-master-root/h16/h3f/50868895350814/712604_main.jpg?im=Resize=1700</t>
  </si>
  <si>
    <t>كي دي دي حليب بنكهة الشوكولاتة 125 مل</t>
  </si>
  <si>
    <t>Analog Walima Mozzarella Cheese Per Kg</t>
  </si>
  <si>
    <t>https://cdn.mafrservices.com/sys-master-root/h09/h4d/14184898625566/647644_main.jpg?im=Resize=1700</t>
  </si>
  <si>
    <t>فلورا زبدة نباتية غير مملحة 100 جرام + 13% مجاناً</t>
  </si>
  <si>
    <t>Kdd 123 Chocolate Milk 125ml</t>
  </si>
  <si>
    <t>100g +13% Free</t>
  </si>
  <si>
    <t>https://cdn.mafrservices.com/sys-master-root/he6/h87/63823317467166/730852_main.jpg?im=Resize=1700</t>
  </si>
  <si>
    <t>الطيب - لبنة على الطريقة التركية</t>
  </si>
  <si>
    <t>Flora -Plant Based- Unsalted Butter 100g +13% Free</t>
  </si>
  <si>
    <t>https://cdn.mafrservices.com/sys-master-root/h2c/he9/48673923694622/704280_main.jpg?im=Resize=1700</t>
  </si>
  <si>
    <t>بلدي فارمز - خليط الجبن والثوم 500 جرام</t>
  </si>
  <si>
    <t>Al-Tieb Turkish Labneh</t>
  </si>
  <si>
    <t>https://cdn.mafrservices.com/pim-content/SAU/media/product/740338/1726575003/740338_main.jpg?im=Resize=1700</t>
  </si>
  <si>
    <t>المزرعة جبنة فيتا قليلة الدسم 200جرام</t>
  </si>
  <si>
    <t>Balade Farms - Cheese &amp;amp; Garlic Mix 500g</t>
  </si>
  <si>
    <t>https://cdn.mafrservices.com/sys-master-root/hef/had/33224055521310/685016_main.jpg?im=Resize=1700</t>
  </si>
  <si>
    <t>فيولايف شوكولاتة قابلة للدهن نباتية 150 جرام</t>
  </si>
  <si>
    <t>Mazraa Nabulsi Low Fat Cheese 200g</t>
  </si>
  <si>
    <t>https://cdn.mafrservices.com/sys-master-root/hcb/h99/63422840078366/731061_main.jpg?im=Resize=1700</t>
  </si>
  <si>
    <t>نادك لبنة كاملة الدسم 180جرام</t>
  </si>
  <si>
    <t>Violife Vegan Cocoa Spread 150g</t>
  </si>
  <si>
    <t>https://cdn.mafrservices.com/sys-master-root/hde/h11/14836893777950/656949_main.jpg?im=Resize=1700</t>
  </si>
  <si>
    <t>بلدي فارمز - لبنة على الطريقة التركية 400 جرام</t>
  </si>
  <si>
    <t>Nadec Labneh Full Fat 180g</t>
  </si>
  <si>
    <t>https://cdn.mafrservices.com/pim-content/SAU/media/product/740357/1726575003/740357_main.jpg?im=Resize=1700</t>
  </si>
  <si>
    <t>بلبريسو جبنه بالزعتر 200 غرام</t>
  </si>
  <si>
    <t>Balade Farms - Turkish Style Labneh 400g</t>
  </si>
  <si>
    <t>https://cdn.mafrservices.com/sys-master-root/h8f/h92/12271090663454/645375_main.jpg?im=Resize=1700</t>
  </si>
  <si>
    <t>دانيت حلى بودينج بطعم الكراميل 75 جرام</t>
  </si>
  <si>
    <t>Valbreso Feta Cheese With Zaatar 200g</t>
  </si>
  <si>
    <t>https://cdn.mafrservices.com/sys-master-root/h33/h5f/33685565243422/676945_main.jpg?im=Resize=1700</t>
  </si>
  <si>
    <t>جالاكسي كيك بار الكراميل 27 جرام × 5</t>
  </si>
  <si>
    <t>Danette Caramel Pudding Dessert 75g</t>
  </si>
  <si>
    <t>27g x5</t>
  </si>
  <si>
    <t>https://cdn.mafrservices.com/sys-master-root/h8b/h41/63823319171102/734487_main.jpg?im=Resize=1700</t>
  </si>
  <si>
    <t>برايد جبنة سلايس 20 شريحة (400 جرام)</t>
  </si>
  <si>
    <t>Galaxy Caramel Cake Bar 27g x5</t>
  </si>
  <si>
    <t>https://cdn.mafrservices.com/sys-master-root/h34/h11/12935533101086/8824_main.jpg?im=Resize=1700</t>
  </si>
  <si>
    <t>السعودية حليب بنكهة الشوكولاتة طويل الأجل 200مل</t>
  </si>
  <si>
    <t>Pride Sandwich Sensation Cheese Slices 400g</t>
  </si>
  <si>
    <t>https://cdn.mafrservices.com/sys-master-root/he9/h69/49823129239582/77056_main.jpg?im=Resize=1700</t>
  </si>
  <si>
    <t>داري(شبيه جبنه)  ابيض  200 جرام</t>
  </si>
  <si>
    <t>Saudia Long Life Chocolate Milk 200ml</t>
  </si>
  <si>
    <t>https://cdn.mafrservices.com/sys-master-root/hdd/h61/11556041097246/553701_main.jpg?im=Resize=1700</t>
  </si>
  <si>
    <t>بارميزان جران بياراغي إيطالي – جبنة إيطالية</t>
  </si>
  <si>
    <t>Dari White Cheese Analogue 200g</t>
  </si>
  <si>
    <t>https://cdn.mafrservices.com/pim-content/SAU/media/product/752792/1752675134/752792_main.jpg?im=Resize=1700</t>
  </si>
  <si>
    <t>صافيو حليب ساده 185مل</t>
  </si>
  <si>
    <t>Parmesan Gran Biraghi Italiano &amp;ndash; Italian Cheese</t>
  </si>
  <si>
    <t>https://cdn.mafrservices.com/sys-master-root/h21/h91/34769730371614/691463_main.jpg?im=Resize=1700</t>
  </si>
  <si>
    <t>مزرعة ألبان الشكعة جبن الغنم النابلسي 150 غرام</t>
  </si>
  <si>
    <t>Safio Plain Milk 185ml</t>
  </si>
  <si>
    <t>https://cdn.mafrservices.com/sys-master-root/h1b/h8d/49864007876638/685017_main.jpg?im=Resize=1700</t>
  </si>
  <si>
    <t>المراعي جبن أزرق 500جرام × 3</t>
  </si>
  <si>
    <t>Mazraa Dairy Alshakaa Sheep Nabulsi Cheese 150g</t>
  </si>
  <si>
    <t>https://cdn.mafrservices.com/sys-master-root/h39/h48/14967246422046/648125_main.jpg?im=Resize=1700</t>
  </si>
  <si>
    <t>بوك جبنة مثلثات 120جرام × 8 قطع</t>
  </si>
  <si>
    <t>Almarai Jar Cheese Blue 500g &amp;times;3</t>
  </si>
  <si>
    <t>https://cdn.mafrservices.com/sys-master-root/haa/h81/63885745455134/501544_main.jpg?im=Resize=1700</t>
  </si>
  <si>
    <t>الصافي - لبن بنكهة الفراولة 180 مل</t>
  </si>
  <si>
    <t>Puck Cheese Triangles 120g &amp;times; 8 Portions</t>
  </si>
  <si>
    <t>https://cdn.mafrservices.com/sys-master-root/h20/h8b/63823309242398/725819_main.jpg?im=Resize=1700</t>
  </si>
  <si>
    <t>لونا قهوة مثلجة بالبروتين بنكهة الكراميل 240 مل</t>
  </si>
  <si>
    <t>Alsafi - Laban Strawberry Flavor 180ml</t>
  </si>
  <si>
    <t>https://cdn.mafrservices.com/pim-content/SAU/media/product/745023/1737538204/745023_main.jpg?im=Resize=1700</t>
  </si>
  <si>
    <t>حليب موز صافيو 185 مل × 18</t>
  </si>
  <si>
    <t>Luna Iced Coffee Protein Caramel 240ml</t>
  </si>
  <si>
    <t>https://cdn.mafrservices.com/sys-master-root/h19/h47/44037299404830/694787_main.jpg?im=Resize=1700</t>
  </si>
  <si>
    <t>نادك جبنة شيدر مطبوخة قابلة للدهن 500جرام</t>
  </si>
  <si>
    <t>Safio Milk Banana 185ml X18</t>
  </si>
  <si>
    <t>https://cdn.mafrservices.com/sys-master-root/hc6/h4c/9157680234526/252527_main.jpg?im=Resize=1700</t>
  </si>
  <si>
    <t>الصافي قشطة طازجة فاخرة 100 جرام</t>
  </si>
  <si>
    <t>Nadec Analogue Processed Cheddar Cheese Spread 500g</t>
  </si>
  <si>
    <t>https://cdn.mafrservices.com/pim-content/SAU/media/product/725813/1722351603/725813_main.jpg?im=Resize=1700</t>
  </si>
  <si>
    <t>ألبرو شراب من الصويا والشوفان بطعم الكراميل للباريستا 750مل</t>
  </si>
  <si>
    <t>Al Safi Premium Fresh Cream 100g</t>
  </si>
  <si>
    <t>https://cdn.mafrservices.com/pim-content/SAU/media/product/750587/1752562804/750587_main.jpg?im=Resize=1700</t>
  </si>
  <si>
    <t>ندى لبن كامل الدسم 800 مل</t>
  </si>
  <si>
    <t>Alpro Caramel Drink Barista Made From Oats &amp;amp; Soya 750ml</t>
  </si>
  <si>
    <t>https://cdn.mafrservices.com/sys-master-root/h41/ha8/10222634532894/431894_main.jpg?im=Resize=1700</t>
  </si>
  <si>
    <t>دانيت ماكس حلى الشوكولاتة 130 جرام</t>
  </si>
  <si>
    <t>Nada Full Fat Laban 800ml</t>
  </si>
  <si>
    <t>Danette</t>
  </si>
  <si>
    <t>https://cdn.mafrservices.com/sys-master-root/h81/h7a/63823309701150/725814_main.jpg?im=Resize=1700</t>
  </si>
  <si>
    <t>جبن دمياطي معتق</t>
  </si>
  <si>
    <t>Danette Max Chocolate Dessert 130g</t>
  </si>
  <si>
    <t>https://cdn.mafrservices.com/sys-master-root/hd7/hf4/34712325914654/686669_main.jpg?im=Resize=1700</t>
  </si>
  <si>
    <t>جلاكسي حليب الشوكولاتة بالكراميل 220 مل</t>
  </si>
  <si>
    <t>Cheese Domyaty Old</t>
  </si>
  <si>
    <t>220ml</t>
  </si>
  <si>
    <t>https://cdn.mafrservices.com/sys-master-root/hda/hc0/63885865123870/730866_main.jpg?im=Resize=1700</t>
  </si>
  <si>
    <t>السعودية حليب بنكهة الموز طويل الأجل 125مل</t>
  </si>
  <si>
    <t>Galaxy Caramel Chocolate Milk 220ml</t>
  </si>
  <si>
    <t>https://cdn.mafrservices.com/sys-master-root/h9a/h3b/50229990555678/671733_main.jpg?im=Resize=1700</t>
  </si>
  <si>
    <t>نادك حليب بالشوكولاتة 360 مل</t>
  </si>
  <si>
    <t>Saudia Long Life Banana Milk 125ml</t>
  </si>
  <si>
    <t>https://cdn.mafrservices.com/sys-master-root/hd5/hbe/12294788874270/491476_main.jpg?im=Resize=1700</t>
  </si>
  <si>
    <t>صافيو حليب بالفانيلا 140 مل</t>
  </si>
  <si>
    <t>Nadec Chocolate Milk 360ml</t>
  </si>
  <si>
    <t>140ml</t>
  </si>
  <si>
    <t>https://cdn.mafrservices.com/sys-master-root/h04/hf5/44154278838302/694780_main.jpg?im=Resize=1700</t>
  </si>
  <si>
    <t>الربيع حليب طويل الأجل خالي من الدسم 185 مل × 18</t>
  </si>
  <si>
    <t>Safio UHT Vanilla Milk 140ml</t>
  </si>
  <si>
    <t>https://cdn.mafrservices.com/pim-content/SAU/media/product/483178/1721311204/483178_main.jpg?im=Resize=1700</t>
  </si>
  <si>
    <t>أمول زبدة مملحة مبسترة 500 جرام</t>
  </si>
  <si>
    <t>Alrabie UHT Fat-Free Milk 185ml X18</t>
  </si>
  <si>
    <t>https://cdn.mafrservices.com/pim-content/SAU/media/product/622250/1739428204/622250_main.jpg?im=Resize=1700</t>
  </si>
  <si>
    <t>نادك حليب طازج قليل الدسم 200 مل</t>
  </si>
  <si>
    <t>Amul Pasteurised Salted Butter 500g</t>
  </si>
  <si>
    <t>https://cdn.mafrservices.com/sys-master-root/h08/h8a/9323311104030/53605_main.jpg?im=Resize=1700</t>
  </si>
  <si>
    <t>صحة بيض الغني بفيتامين دال 15 قطعة</t>
  </si>
  <si>
    <t>Nadec Fresh Milk Low Fat 200ml</t>
  </si>
  <si>
    <t>https://cdn.mafrservices.com/sys-master-root/hc4/h78/49411374448670/691537_main.jpg?im=Resize=1700</t>
  </si>
  <si>
    <t>شبيه جبنة صفراء مصرية على الطريقة الاسطنبولية</t>
  </si>
  <si>
    <t>Saha Vitamin D Egg 15&amp;#39;s</t>
  </si>
  <si>
    <t>https://cdn.mafrservices.com/sys-master-root/h82/ha5/27066107559966/592922_main.jpg?im=Resize=1700</t>
  </si>
  <si>
    <t>باربلز ملك شيك بالفانيلا 330 مل</t>
  </si>
  <si>
    <t>Egyptian -Istanbuli Style- Analogue Yellow Cheese</t>
  </si>
  <si>
    <t>https://cdn.mafrservices.com/pim-content/SAU/media/product/678546/1726989006/678546_main.jpg?im=Resize=1700</t>
  </si>
  <si>
    <t>دانيت ماكس حلى الفانيليا 130 جرام</t>
  </si>
  <si>
    <t>Barebells - Protein Milkshake, Vanilla, 330m</t>
  </si>
  <si>
    <t>https://cdn.mafrservices.com/sys-master-root/h0c/h93/63823310422046/725815_main.jpg?im=Resize=1700</t>
  </si>
  <si>
    <t>بلدي فارمز - لبنة تركية 180 جرام</t>
  </si>
  <si>
    <t>Danette Max Vanilla Dessert 130g</t>
  </si>
  <si>
    <t>https://cdn.mafrservices.com/pim-content/SAU/media/product/740358/1725978604/740358_main.jpg?im=Resize=1700</t>
  </si>
  <si>
    <t>دومتي بلس كاملة الدسم شبيه جبنة بيضاء فيتا – غنية بالحليب – 125 جرام</t>
  </si>
  <si>
    <t>Balade Farms - Turkish Style Labneh 180g</t>
  </si>
  <si>
    <t>https://cdn.mafrservices.com/pim-content/SAU/media/product/748813/1753105473/748813_main.jpg?im=Resize=1700</t>
  </si>
  <si>
    <t>زانيتي جرانا بادانو جبنة 200 جرام</t>
  </si>
  <si>
    <t>Domti Plus Full Cream White Cheese Analogue Feta &amp;ndash; Rich in Milk &amp;ndash; 125g</t>
  </si>
  <si>
    <t>Italy</t>
  </si>
  <si>
    <t>https://cdn.mafrservices.com/sys-master-root/h0c/hb0/49864010432542/685021_main.jpg?im=Resize=1700</t>
  </si>
  <si>
    <t>جالاكسي حليب الشوكولاتة بالبندق 220 مل</t>
  </si>
  <si>
    <t>Zanetti Grana Padano Cheese 200g</t>
  </si>
  <si>
    <t>https://cdn.mafrservices.com/sys-master-root/hec/he9/63885864730654/730867_main.jpg?im=Resize=1700</t>
  </si>
  <si>
    <t>ندى زبادي كامل الدسم 170 جرام</t>
  </si>
  <si>
    <t>Galaxy Hazelnut Chocolate Milk 220ml</t>
  </si>
  <si>
    <t>https://cdn.mafrservices.com/sys-master-root/h6f/hfe/10222635089950/60533_main.jpg?im=Resize=1700</t>
  </si>
  <si>
    <t>المراعي حليب طازج بنكهة الفراولة 360 مل</t>
  </si>
  <si>
    <t>Nada Full Fat Yogurt 170g</t>
  </si>
  <si>
    <t>https://cdn.mafrservices.com/sys-master-root/hde/h93/50520428347422/548867_main.jpg?im=Resize=1700</t>
  </si>
  <si>
    <t>المراعي جبن شيدر كامل الدسم 200جرام</t>
  </si>
  <si>
    <t>Almarai Strawberry Flavored Fresh Milk 360ml</t>
  </si>
  <si>
    <t>https://cdn.mafrservices.com/sys-master-root/h2b/h98/50520417730590/106554_main.jpg?im=Resize=1700</t>
  </si>
  <si>
    <t>فيولايف لبنة كريمية 150 جرام</t>
  </si>
  <si>
    <t>Almarai Cheddar Cheese 200g</t>
  </si>
  <si>
    <t>https://cdn.mafrservices.com/sys-master-root/he3/hb0/63422840700958/731058_main.jpg?im=Resize=1700</t>
  </si>
  <si>
    <t>المراعي حليب كراميل مملح 225مل</t>
  </si>
  <si>
    <t>Violife Creamy Labneh 150g</t>
  </si>
  <si>
    <t>https://cdn.mafrservices.com/sys-master-root/h22/h2a/52511829884958/721606_main.jpg?im=Resize=1700</t>
  </si>
  <si>
    <t>جالاكسي كيك بار الفانيليا 27 جرام × 5</t>
  </si>
  <si>
    <t>Almarai Salted Caramel Milk 225ml</t>
  </si>
  <si>
    <t>https://cdn.mafrservices.com/sys-master-root/h35/h96/63823317008414/734485_main.jpg?im=Resize=1700</t>
  </si>
  <si>
    <t>لونا جبنة ابيض اللون 500جرام</t>
  </si>
  <si>
    <t>Galaxy Vanilla Cake Bar 27g x5</t>
  </si>
  <si>
    <t>https://cdn.mafrservices.com/sys-master-root/h0b/ha0/13148932603934/188370_main.jpg?im=Resize=1700</t>
  </si>
  <si>
    <t>جالاكسي حليب الشوكولاتة المميز 220 مل</t>
  </si>
  <si>
    <t>Luna White Cream Cheese 500g</t>
  </si>
  <si>
    <t>https://cdn.mafrservices.com/sys-master-root/hf3/hb5/63885865484318/730865_main.jpg?im=Resize=1700</t>
  </si>
  <si>
    <t>فيتنيل جبنة حلوم  250 جرام</t>
  </si>
  <si>
    <t>Galaxy Signature Chocolate Milk 220ml</t>
  </si>
  <si>
    <t>https://cdn.mafrservices.com/sys-master-root/h94/hb9/12779166105630/651742_main.jpg?im=Resize=1700</t>
  </si>
  <si>
    <t>فلورا زبدة غير مملحة 400 جرام + 100 جرام مجاناً</t>
  </si>
  <si>
    <t>Vitnel Halloumi Cheese 250g</t>
  </si>
  <si>
    <t>400g + 100g</t>
  </si>
  <si>
    <t>https://cdn.mafrservices.com/pim-content/SAU/media/product/743722/1746684003/743722_main.jpg?im=Resize=1700</t>
  </si>
  <si>
    <t>المراعي جبن شيدر قابل للدهن 900جرام</t>
  </si>
  <si>
    <t>Flora Unsalted Butter 400g + 100g Free</t>
  </si>
  <si>
    <t>https://cdn.mafrservices.com/sys-master-root/h6f/hb7/50520420417566/485957_main.jpg?im=Resize=1700</t>
  </si>
  <si>
    <t xml:space="preserve">ريزو سكوتي شراب جوز الهند الحيوي 1 لتر </t>
  </si>
  <si>
    <t>Almarai Spreadable Cheddar Cheese 900g</t>
  </si>
  <si>
    <t>https://cdn.mafrservices.com/sys-master-root/h5e/hbe/14953234235422/620329_main.jpg?im=Resize=1700</t>
  </si>
  <si>
    <t>فلورا زبدة نباتية غير مملحة 200 جرام</t>
  </si>
  <si>
    <t>Riso Scotti Ricecoconut Biodrink 1l</t>
  </si>
  <si>
    <t>https://cdn.mafrservices.com/sys-master-root/h5b/hda/63422838439966/730850_main.jpg?im=Resize=1700</t>
  </si>
  <si>
    <t>المزرعة الشكعة جبنه سنابل 125 غرام</t>
  </si>
  <si>
    <t>Flora Plant Butter Unsalted 200g</t>
  </si>
  <si>
    <t>https://cdn.mafrservices.com/sys-master-root/hdb/hf4/50853019484190/685014_main.jpg?im=Resize=1700</t>
  </si>
  <si>
    <t>نادك حليب مانجو 200 مل</t>
  </si>
  <si>
    <t>Al Mazraa Sanabel Cheese 125g</t>
  </si>
  <si>
    <t>https://cdn.mafrservices.com/sys-master-root/he7/h53/12820835663902/485972_main.jpg?im=Resize=1700</t>
  </si>
  <si>
    <t>السعودية حليب  بالتمر طويل الأجل 200 مل 18 قطعة</t>
  </si>
  <si>
    <t>Nadec Mango Milk 200ml</t>
  </si>
  <si>
    <t>https://cdn.mafrservices.com/sys-master-root/h7b/hf0/14787582033950/575374_main.jpg?im=Resize=1700</t>
  </si>
  <si>
    <t>ندى جونيور حليب بالشوكولاتة 115مل</t>
  </si>
  <si>
    <t>Saudia Milke With Date Long Life 200ml 18 Piece</t>
  </si>
  <si>
    <t>115ml</t>
  </si>
  <si>
    <t>https://cdn.mafrservices.com/sys-master-root/h16/h88/15507713818654/153268_main.jpg?im=Resize=1700</t>
  </si>
  <si>
    <t>فرسانا  (شبيه جبنة) شيدر 1 كجم</t>
  </si>
  <si>
    <t>Nada Junior Chocolate Milk 115ml</t>
  </si>
  <si>
    <t>https://cdn.mafrservices.com/sys-master-root/h82/h4a/14570234904606/508231_main.jpg?im=Resize=1700</t>
  </si>
  <si>
    <t>نادك شبيه جبنة كريمية قابلة للدهن 240 جرام</t>
  </si>
  <si>
    <t>Forsana Analogue Chees Cheddar Shredded 1kg</t>
  </si>
  <si>
    <t>https://cdn.mafrservices.com/sys-master-root/hf0/h6b/14836857339934/641554_main.jpg?im=Resize=1700</t>
  </si>
  <si>
    <t>نادك لبن طازج بطعم الفراولة 340مل</t>
  </si>
  <si>
    <t>Nadec Analogue Cheese Cream Spread 240g</t>
  </si>
  <si>
    <t>340ml</t>
  </si>
  <si>
    <t>https://cdn.mafrservices.com/sys-master-root/hab/h15/12778281173022/588196_main.jpg?im=Resize=1700</t>
  </si>
  <si>
    <t>جووت زبدة من حليب الماعز غير مملحة 200 جرام</t>
  </si>
  <si>
    <t>Nadec Fresh Laban Strawberry Flavor 340ml</t>
  </si>
  <si>
    <t>https://cdn.mafrservices.com/pim-content/SAU/media/product/751032/1752562804/751032_main.jpg?im=Resize=1700</t>
  </si>
  <si>
    <t>الربيع  زين حليب  كامل 125 مل</t>
  </si>
  <si>
    <t>Goot Unsalted Goat Butter 200g</t>
  </si>
  <si>
    <t>https://cdn.mafrservices.com/pim-content/SAU/media/product/646022/1721311204/646022_main.jpg?im=Resize=1700</t>
  </si>
  <si>
    <t>جالاكسي كيك بار الشوكولاتة 27 جرام</t>
  </si>
  <si>
    <t>Alrabie Zein Milk Whole 125ml</t>
  </si>
  <si>
    <t>27g</t>
  </si>
  <si>
    <t>https://cdn.mafrservices.com/sys-master-root/h57/h7d/63823317794846/734484_main.jpg?im=Resize=1700</t>
  </si>
  <si>
    <t>فرسان  (شبيه جبنة) جبن موزاريلا 1 كجم</t>
  </si>
  <si>
    <t>Galaxy Chocolate Cake Bar 27g</t>
  </si>
  <si>
    <t>https://cdn.mafrservices.com/sys-master-root/hf5/hcb/15086299742238/162887_main.jpg?im=Resize=1700</t>
  </si>
  <si>
    <t>كيكة الفوشيه بالفواكه 220 جرام</t>
  </si>
  <si>
    <t>Forsan Aanalogue Chees Mozzarella Block 1kg</t>
  </si>
  <si>
    <t>Fuchsia</t>
  </si>
  <si>
    <t>https://cdn.mafrservices.com/sys-master-root/h20/h61/14836868153374/645234_main.jpg?im=Resize=1700</t>
  </si>
  <si>
    <t>نادك لبنة الشطة المميزة 180 جرام</t>
  </si>
  <si>
    <t>Fuchsia Fruit Cake 220g</t>
  </si>
  <si>
    <t>https://cdn.mafrservices.com/pim-content/SAU/media/product/747845/1745238604/747845_main.jpg?im=Resize=1700</t>
  </si>
  <si>
    <t>صافيو حليب طويل الاجل بالشوكولاتة 140مل</t>
  </si>
  <si>
    <t>Nadec Premium Chili Labneh 180g</t>
  </si>
  <si>
    <t>https://cdn.mafrservices.com/sys-master-root/haf/h53/34769729257502/691458_main.jpg?im=Resize=1700</t>
  </si>
  <si>
    <t>صافيو حليب طويل الأجل بنكهة الموز 140مل × 18</t>
  </si>
  <si>
    <t>Safio UHT Choco Milk 140ml</t>
  </si>
  <si>
    <t>https://cdn.mafrservices.com/sys-master-root/ha5/ha2/34789847466014/694781_main.jpg?im=Resize=1700</t>
  </si>
  <si>
    <t>السعودية حليب بنكهة المانجو 200 مل</t>
  </si>
  <si>
    <t>Safio UHT Banana Milk 140mlx18</t>
  </si>
  <si>
    <t>https://cdn.mafrservices.com/pim-content/SAU/media/product/741384/1730815204/741384_main.jpg?im=Resize=1700</t>
  </si>
  <si>
    <t>المراعي حليب طويل الأجل بنكهة الموز 150 مل</t>
  </si>
  <si>
    <t>Almarai Long Life Nijoom Banana Flavoured Milk 150ml</t>
  </si>
  <si>
    <t>https://cdn.mafrservices.com/sys-master-root/he5/heb/50520432410654/585177_main.jpg?im=Resize=1700</t>
  </si>
  <si>
    <t>بوني حليب بنكهة الشوكولاتة 250 مل</t>
  </si>
  <si>
    <t>Saudia Mango Flavored Milk 200 ml</t>
  </si>
  <si>
    <t>Bonny</t>
  </si>
  <si>
    <t>https://cdn.mafrservices.com/sys-master-root/h5c/he7/14055379927070/284309_main.jpg?im=Resize=1700</t>
  </si>
  <si>
    <t>أفونمور بروفيشونل كريمة خفق 1 لتر</t>
  </si>
  <si>
    <t>Bonny Flavored Milk Chocolate 250ml</t>
  </si>
  <si>
    <t>United Kingdom</t>
  </si>
  <si>
    <t>https://cdn.mafrservices.com/sys-master-root/h66/h08/50520600870942/688980_main.jpg?im=Resize=1700</t>
  </si>
  <si>
    <t>لونا قهوة مثلج بالكراميل 240 مل</t>
  </si>
  <si>
    <t>Avonmore Professional Whipping Cream 1L</t>
  </si>
  <si>
    <t>https://cdn.mafrservices.com/sys-master-root/hc8/h77/14953253273630/662828_main.jpg?im=Resize=1700</t>
  </si>
  <si>
    <t>المراعي حليب طازج بنكهة المانجو 360 مل</t>
  </si>
  <si>
    <t>Luna Ice CoFull Fatee Caramel 240Ml</t>
  </si>
  <si>
    <t>https://cdn.mafrservices.com/sys-master-root/h60/h1f/50520427003934/548868_main.jpg?im=Resize=1700</t>
  </si>
  <si>
    <t>بلدي كرات لبنة صغيرة سادة</t>
  </si>
  <si>
    <t>Almarai Mango Flavoured Fresh Milk 360ml</t>
  </si>
  <si>
    <t>https://cdn.mafrservices.com/pim-content/SAU/media/product/749084/1746374403/749084_main.jpg?im=Resize=1700</t>
  </si>
  <si>
    <t>جوت - شبيه جبن ماعز كريمية 500 جرام</t>
  </si>
  <si>
    <t>Balade Mini Plain Labneh Balls</t>
  </si>
  <si>
    <t>https://cdn.mafrservices.com/pim-content/SAU/media/product/751033/1749022205/751033_main.jpg?im=Resize=1700</t>
  </si>
  <si>
    <t>نادك حليب طويل الأجل من حليب الأبقار 100% خالي الدسم 1 لتر ×4</t>
  </si>
  <si>
    <t>Goot - Analogue Goat Cheese Spread 500g</t>
  </si>
  <si>
    <t>1L x4</t>
  </si>
  <si>
    <t>https://cdn.mafrservices.com/pim-content/SAU/media/product/654432/1731931804/654432_main.jpg?im=Resize=1700</t>
  </si>
  <si>
    <t>جالاكسي كيك بار البندق 27 جرام × 5</t>
  </si>
  <si>
    <t>Nadec Long Life Milk From 100% Fresh Cow&amp;#39;s Milk, Skimmed 1L x4</t>
  </si>
  <si>
    <t>https://cdn.mafrservices.com/sys-master-root/h59/h4b/63823319433246/734489_main.jpg?im=Resize=1700</t>
  </si>
  <si>
    <t>فرسانا   (شبيه جبنة) جبن شيدر  500 جرام</t>
  </si>
  <si>
    <t>Galaxy Hazelnut Cake Bar 27g x5</t>
  </si>
  <si>
    <t>https://cdn.mafrservices.com/sys-master-root/hfc/h09/9929616654366/497815_main.jpg?im=Resize=1700</t>
  </si>
  <si>
    <t>الصافي لبن بنكهة المانجو 340 مل</t>
  </si>
  <si>
    <t>Forsana Analogue Chees Block Cheddar 500g</t>
  </si>
  <si>
    <t>https://cdn.mafrservices.com/pim-content/SAU/media/product/737064/1722409203/737064_main.jpg?im=Resize=1700</t>
  </si>
  <si>
    <t>السعودية حليب بنكهة الموز طويل الأجل 200مل</t>
  </si>
  <si>
    <t>Alsafi Mango Flavoured Laban 340ml</t>
  </si>
  <si>
    <t>https://cdn.mafrservices.com/sys-master-root/hd5/h62/49823129010206/77055_main.jpg?im=Resize=1700</t>
  </si>
  <si>
    <t>فيولايفي جبنة شيدر نباتي بنكهة الشيدر 140 جرام</t>
  </si>
  <si>
    <t>Saudia Long Life Banana Milk 200ml</t>
  </si>
  <si>
    <t>140g</t>
  </si>
  <si>
    <t>https://cdn.mafrservices.com/sys-master-root/hce/h69/13926242025502/657186_main.jpg?im=Resize=1700</t>
  </si>
  <si>
    <t>بلدي لبنة تركية</t>
  </si>
  <si>
    <t>Violife Vegan Cheese Slices Cheddar 140g</t>
  </si>
  <si>
    <t>https://cdn.mafrservices.com/pim-content/SAU/media/product/749082/1746374403/749082_main.jpg?im=Resize=1700</t>
  </si>
  <si>
    <t>ديليزيا جبنة شيدر بيضاء</t>
  </si>
  <si>
    <t>Balade Turkish Labneh</t>
  </si>
  <si>
    <t>https://cdn.mafrservices.com/pim-content/SAU/media/product/750809/1750599003/750809_main.jpg?im=Resize=1700</t>
  </si>
  <si>
    <t>ديلمير جبن ماعز  150 جرام</t>
  </si>
  <si>
    <t>Delizia Cheddar White</t>
  </si>
  <si>
    <t>https://cdn.mafrservices.com/pim-content/SAU/media/product/631350/1740639603/631350_main.jpg?im=Resize=1700</t>
  </si>
  <si>
    <t>كيري جبنة كريمية برطمان زجاجي 900 غرام</t>
  </si>
  <si>
    <t>Delamere Goat Cheese Hard 150g</t>
  </si>
  <si>
    <t>https://cdn.mafrservices.com/sys-master-root/hd1/h7d/50132769636382/708944_main.jpg?im=Resize=1700</t>
  </si>
  <si>
    <t>فرسانا زبدة  غير مملحة 400جرام</t>
  </si>
  <si>
    <t>Kiri Glass Jar 900g</t>
  </si>
  <si>
    <t>https://cdn.mafrservices.com/sys-master-root/ha9/h84/9320593653790/127799_main.jpg?im=Resize=1700</t>
  </si>
  <si>
    <t>فرسانا شرائح جبنة أنالوج 200 جرام</t>
  </si>
  <si>
    <t>Forsana Unsalted Butter 400g</t>
  </si>
  <si>
    <t>https://cdn.mafrservices.com/sys-master-root/hc6/h8b/12629701427230/414529_main.jpg?im=Resize=1700</t>
  </si>
  <si>
    <t>كي دي دي حليب بنكهة الموز 180مل</t>
  </si>
  <si>
    <t>Forsana Analogue Cheese Slices  200g</t>
  </si>
  <si>
    <t>https://cdn.mafrservices.com/sys-master-root/hc7/h46/28476746760222/637567_main.jpg?im=Resize=1700</t>
  </si>
  <si>
    <t>بلدي - كرات لبنة مع حبة البركة صغيرة</t>
  </si>
  <si>
    <t>Kdd Long Life Banana Milk 180ml</t>
  </si>
  <si>
    <t>https://cdn.mafrservices.com/pim-content/SAU/media/product/749088/1746088803/749088_main.jpg?im=Resize=1700</t>
  </si>
  <si>
    <t>ياسمين شبيه جبن شيدر 1.8 كجم</t>
  </si>
  <si>
    <t>Balade Labneh Balls With Black Sesame Seeds Mini</t>
  </si>
  <si>
    <t>Yasmin</t>
  </si>
  <si>
    <t>https://cdn.mafrservices.com/sys-master-root/h8c/h00/28476750364702/661424_main.jpg?im=Resize=1700</t>
  </si>
  <si>
    <t>الربيع  زين حليب  بالشوكولاتة 125 مل</t>
  </si>
  <si>
    <t>Yasmin Cheddar Cheese (Analogue) 1.8kg</t>
  </si>
  <si>
    <t>https://cdn.mafrservices.com/pim-content/SAU/media/product/646024/1721311204/646024_main.jpg?im=Resize=1700</t>
  </si>
  <si>
    <t>الصافي لبن بنكهة الفراولة 340 مل</t>
  </si>
  <si>
    <t>Alrabie Zein Milk Chocolate 125ml</t>
  </si>
  <si>
    <t>https://cdn.mafrservices.com/pim-content/SAU/media/product/737065/1722409203/737065_main.jpg?im=Resize=1700</t>
  </si>
  <si>
    <t>لونا حليب الشوكولاتة المعقم 200مل</t>
  </si>
  <si>
    <t>Alsafi Strawberry Flavoured Laban 340ml</t>
  </si>
  <si>
    <t>https://cdn.mafrservices.com/sys-master-root/h72/h2d/50564268589086/670661_main.jpg?im=Resize=1700</t>
  </si>
  <si>
    <t>لونا قهوة مثلجة 240 مل</t>
  </si>
  <si>
    <t>Luna UHT Chocolate Milk 200ml</t>
  </si>
  <si>
    <t>https://cdn.mafrservices.com/sys-master-root/h5d/h9d/15507718995998/612609_main.jpg?im=Resize=1700</t>
  </si>
  <si>
    <t>سكوتي باريستا شراب الصويا بايو 1 لتر</t>
  </si>
  <si>
    <t>Luna Ice CoFull Fatee 240ml</t>
  </si>
  <si>
    <t>https://cdn.mafrservices.com/sys-master-root/h48/h87/63823210872862/724980_main.jpg?im=Resize=1700</t>
  </si>
  <si>
    <t>الربيع حليب طويل الأجل بالشوكولاتة 185 مل × 18</t>
  </si>
  <si>
    <t>Scotti Bio Barista Soy Drink 1L</t>
  </si>
  <si>
    <t>https://cdn.mafrservices.com/pim-content/SAU/media/product/483180/1721311204/483180_main.jpg?im=Resize=1700</t>
  </si>
  <si>
    <t>صافيو حليب بالفراولة 140 مل</t>
  </si>
  <si>
    <t>Alrabie UHT Chocolate Milk 185ml X18</t>
  </si>
  <si>
    <t>https://cdn.mafrservices.com/sys-master-root/h9f/hc3/44121483542558/694779_main.jpg?im=Resize=1700</t>
  </si>
  <si>
    <t>لونا حليب طويل الأجل بنكهة الشوكولاتة 200مل × 18</t>
  </si>
  <si>
    <t>Safio UHT Strawberry Milk 140ml</t>
  </si>
  <si>
    <t>https://cdn.mafrservices.com/sys-master-root/h43/h53/28290704146462/670665_main.jpg?im=Resize=1700</t>
  </si>
  <si>
    <t>نادك شبيه جبنة كريمية بيضاء 900 جرام</t>
  </si>
  <si>
    <t>Luna Long Life Chocolate Flavored Milk 200ml &amp;times; 18</t>
  </si>
  <si>
    <t>https://cdn.mafrservices.com/sys-master-root/h45/he1/11763528957982/621311_main.jpg?im=Resize=1700</t>
  </si>
  <si>
    <t>فرسانا  (شبيه جبنة) موزاريلا مبشور 500 جرام</t>
  </si>
  <si>
    <t>Nadec Analogue White Cream Cheese 900g</t>
  </si>
  <si>
    <t>https://cdn.mafrservices.com/sys-master-root/he9/h28/9218164129822/127783_main.jpg?im=Resize=1700</t>
  </si>
  <si>
    <t>فرسانا زبدة  غير مملحة 100جرام</t>
  </si>
  <si>
    <t>Forsana Shredded Analogue Chees Mozarella 500g</t>
  </si>
  <si>
    <t>https://cdn.mafrservices.com/pim-content/SAU/media/product/127797/1723630203/127797_main.jpg?im=Resize=1700</t>
  </si>
  <si>
    <t>لونا حليب كامل الدسم 200مل</t>
  </si>
  <si>
    <t>Forsana Unsaltedgoat Butter 100g</t>
  </si>
  <si>
    <t>https://cdn.mafrservices.com/sys-master-root/h50/ha8/50564118937630/296370_main.jpg?im=Resize=1700</t>
  </si>
  <si>
    <t>فرسانا لبنة 400جرام</t>
  </si>
  <si>
    <t>Luna UTH Full Fat Milk 200ml</t>
  </si>
  <si>
    <t>https://cdn.mafrservices.com/sys-master-root/hbd/h53/52467033014302/497920_main.jpg?im=Resize=1700</t>
  </si>
  <si>
    <t>جبنة موزاريلا الصافي 500 جرام</t>
  </si>
  <si>
    <t>Forsana Labneh 400g</t>
  </si>
  <si>
    <t>https://cdn.mafrservices.com/sys-master-root/hf0/he6/26993933287454/620338_main.jpg?im=Resize=1700</t>
  </si>
  <si>
    <t>الصافي شرائح جبنة للساندويتش 200 جرام</t>
  </si>
  <si>
    <t>Al Safi Mozzarella Cheese 500g</t>
  </si>
  <si>
    <t>https://cdn.mafrservices.com/pim-content/SAU/media/product/742413/1745826005/742413_main.jpg?im=Resize=1700</t>
  </si>
  <si>
    <t>فرسان (شبيه جبنة)موزاريلا أ 200 جرام</t>
  </si>
  <si>
    <t>Alsafi Cheese Slices Sandwich 200g</t>
  </si>
  <si>
    <t>https://cdn.mafrservices.com/sys-master-root/h57/h68/14570234085406/127785_main.jpg?im=Resize=1700</t>
  </si>
  <si>
    <t>الربيع حليب طويل الأجل بالفراولة 185 مل × 18</t>
  </si>
  <si>
    <t>Forsana Analogue Mozarella Block 200g</t>
  </si>
  <si>
    <t>https://cdn.mafrservices.com/pim-content/SAU/media/product/483179/1721311204/483179_main.jpg?im=Resize=1700</t>
  </si>
  <si>
    <t>نادك حليب تافي معقم بدرجة حرارة عالية 125 مل</t>
  </si>
  <si>
    <t>Alrabie UHT Strawberry Milk 185ml X18</t>
  </si>
  <si>
    <t>https://cdn.mafrservices.com/pim-content/SAU/media/product/744041/1741244403/744041_main.jpg?im=Resize=1700</t>
  </si>
  <si>
    <t>البقرة الضاحكة جبنة كريمية قابلة للدهن 900 جرام</t>
  </si>
  <si>
    <t>Nadec UHT Toffee Milk 125ml</t>
  </si>
  <si>
    <t>https://cdn.mafrservices.com/sys-master-root/h0e/h76/32969674129438/655846_main.jpg?im=Resize=1700</t>
  </si>
  <si>
    <t>نادك حليب طازج منكه بالكراميل المملح 225 مل</t>
  </si>
  <si>
    <t>La Vache qui rit Cream Cheese Jar, Rich in Calcium, Vitamin A  D, 900g</t>
  </si>
  <si>
    <t>https://cdn.mafrservices.com/pim-content/SAU/media/product/747839/1744007403/747839_main.jpg?im=Resize=1700</t>
  </si>
  <si>
    <t>البقرة الضاحكة جبنة كريمية قابلة للدهن 500×2 جرام</t>
  </si>
  <si>
    <t>Nadec Salted Caramel Flavored Fresh Milk 225ml</t>
  </si>
  <si>
    <t>https://cdn.mafrservices.com/sys-master-root/hd2/he3/63026596479006/655847_main.jpg?im=Resize=1700</t>
  </si>
  <si>
    <t>نادك شبيه جبنة كريمية في برطمان 140 جرام</t>
  </si>
  <si>
    <t>La Vache Qui Rit Cream Cheese 500g &amp;times; 2</t>
  </si>
  <si>
    <t>https://cdn.mafrservices.com/sys-master-root/h18/h73/14836857569310/641556_main.jpg?im=Resize=1700</t>
  </si>
  <si>
    <t>فيولايف شريحة جبنة  بنكهة الموزاريلا 140 جرام</t>
  </si>
  <si>
    <t>Nadec Analogue Cheese Cream Jar 140g</t>
  </si>
  <si>
    <t>https://cdn.mafrservices.com/sys-master-root/hb7/hda/13926240747550/657187_main.jpg?im=Resize=1700</t>
  </si>
  <si>
    <t>جالاكسي كيك بار الكراميل 27 جرام</t>
  </si>
  <si>
    <t>Violife Mozzarella Cheese Slices 140g</t>
  </si>
  <si>
    <t>https://cdn.mafrservices.com/sys-master-root/h19/h4f/63823319564318/734488_main.jpg?im=Resize=1700</t>
  </si>
  <si>
    <t>الربيع حليب كامل الدسم 185 مل</t>
  </si>
  <si>
    <t>Galaxy Caramel Cake Bar 27g</t>
  </si>
  <si>
    <t>https://cdn.mafrservices.com/pim-content/SAU/media/product/117465/1721309405/117465_main.jpg?im=Resize=1700</t>
  </si>
  <si>
    <t>الربيع  زين حليب  بالفراولة 125 مل</t>
  </si>
  <si>
    <t>Al Rabie UHT Full Fat Milk 185ml</t>
  </si>
  <si>
    <t>https://cdn.mafrservices.com/pim-content/SAU/media/product/646023/1721311204/646023_main.jpg?im=Resize=1700</t>
  </si>
  <si>
    <t>جالاكسي كيك بار البندق 27 جرام</t>
  </si>
  <si>
    <t>Alrabie Zein Milk Strawberry 125ml</t>
  </si>
  <si>
    <t>https://cdn.mafrservices.com/sys-master-root/h74/h95/63823317073950/734490_main.jpg?im=Resize=1700</t>
  </si>
  <si>
    <t>Galaxy Hazelnut Cake Bar 27g</t>
  </si>
  <si>
    <t>https://cdn.mafrservices.com/sys-master-root/h33/he4/9027169648670/555064_main.jpg?im=Resize=1700</t>
  </si>
  <si>
    <t>باربلز بروتين ميلك شيك، موز 330 مل</t>
  </si>
  <si>
    <t>https://cdn.mafrservices.com/pim-content/SAU/media/product/678545/1726989006/678545_main.jpg?im=Resize=1700</t>
  </si>
  <si>
    <t>لافاش كي ري شرائح جبنة الشيدر  480 غرام</t>
  </si>
  <si>
    <t>Barebells - Protein Milkshake, Banana, 330m</t>
  </si>
  <si>
    <t>https://cdn.mafrservices.com/sys-master-root/hdc/hb7/32731470331934/420669_main.jpg?im=Resize=1700</t>
  </si>
  <si>
    <t>مراد بي - جبنة نابلسية 200جرام</t>
  </si>
  <si>
    <t>La Vache qui rit Cheddar Cheese Slices, 24 Slices, 480g</t>
  </si>
  <si>
    <t>https://cdn.mafrservices.com/sys-master-root/h50/he6/49294525399070/625496_main.jpg?im=Resize=1700</t>
  </si>
  <si>
    <t>نادك لبن طازج بطعم المانجو 340مل</t>
  </si>
  <si>
    <t>Muratbey - Naboulsi Cheese 200g</t>
  </si>
  <si>
    <t>https://cdn.mafrservices.com/sys-master-root/h60/h12/51847210795038/699313_main.jpg?im=Resize=1700</t>
  </si>
  <si>
    <t>لونا قهوة بارده  موكا 240 مل</t>
  </si>
  <si>
    <t>Nadec Fresh Mango Laban Drink 340ml</t>
  </si>
  <si>
    <t>https://cdn.mafrservices.com/sys-master-root/h97/hb6/14773428912158/612610_main.jpg?im=Resize=1700</t>
  </si>
  <si>
    <t>أمريكانا كيك شوكولاتة 290 جرام</t>
  </si>
  <si>
    <t>Luna Ice CoFull Fatee Mocca 240ml</t>
  </si>
  <si>
    <t>290g</t>
  </si>
  <si>
    <t>https://cdn.mafrservices.com/sys-master-root/hfe/hb0/62519688658974/516793_main.jpg?im=Resize=1700</t>
  </si>
  <si>
    <t>الربيع حليب بسكويت 185 مل × 18</t>
  </si>
  <si>
    <t>Americana Chocolate Chips Pound Cake 290g</t>
  </si>
  <si>
    <t>https://cdn.mafrservices.com/pim-content/SAU/media/product/600078/1721311204/600078_main.jpg?im=Resize=1700</t>
  </si>
  <si>
    <t>الربيع حليب بسكويت 185 مل</t>
  </si>
  <si>
    <t>Alrabie Biscuit Milk 185ml X18</t>
  </si>
  <si>
    <t>https://cdn.mafrservices.com/pim-content/SAU/media/product/600077/1721311204/600077_main.jpg?im=Resize=1700</t>
  </si>
  <si>
    <t>نادك شبيه جبنة مثلثات 240 جرام</t>
  </si>
  <si>
    <t>Alrabie Biscuit Milk 185ml</t>
  </si>
  <si>
    <t>https://cdn.mafrservices.com/sys-master-root/hd0/h79/9207711563806/327560_main.jpg?im=Resize=1700</t>
  </si>
  <si>
    <t>بريستين - كريمة متعددة الأغراض (الطبخ، الخفق، الصب) 1 لتر</t>
  </si>
  <si>
    <t>Nadec Analogue Cheese Triangle 240g</t>
  </si>
  <si>
    <t>Pristine</t>
  </si>
  <si>
    <t>https://cdn.mafrservices.com/pim-content/SAU/media/product/739608/1726575003/739608_main.jpg?im=Resize=1700</t>
  </si>
  <si>
    <t>صافيو حليب طويل الأجل بالشوكولاتة 185 مل</t>
  </si>
  <si>
    <t>Pristine - Multipurpose Cream (Cooking, Whipping, Pouring) 1L</t>
  </si>
  <si>
    <t>https://cdn.mafrservices.com/sys-master-root/he2/h91/34769730306078/691460_main.jpg?im=Resize=1700</t>
  </si>
  <si>
    <t>الربيع حليب طويل الأجل بالشوكولاتة 185 مل</t>
  </si>
  <si>
    <t>Safio UHT Choco Milk 185ml</t>
  </si>
  <si>
    <t>https://cdn.mafrservices.com/pim-content/SAU/media/product/117477/1721309405/117477_main.jpg?im=Resize=1700</t>
  </si>
  <si>
    <t>نادك حليب طويل الأجل بنكهة الشوكولاتة 185مل</t>
  </si>
  <si>
    <t>Alrabie UHT Chocolate Milk 185ml</t>
  </si>
  <si>
    <t>https://cdn.mafrservices.com/sys-master-root/hbf/h63/46472459190302/632506_main.jpg?im=Resize=1700</t>
  </si>
  <si>
    <t>ندى دانيه حليب بالفراولة 185مل</t>
  </si>
  <si>
    <t>Nadec UHT Milk Chocolate Flavored 185ml</t>
  </si>
  <si>
    <t>https://cdn.mafrservices.com/sys-master-root/hf8/h39/15507716866078/533685_main.jpg?im=Resize=1700</t>
  </si>
  <si>
    <t>نادك لبن طازج بطعم المانجو 180مل</t>
  </si>
  <si>
    <t>Nada Danyah Strawberry Milk 185ml</t>
  </si>
  <si>
    <t>https://cdn.mafrservices.com/sys-master-root/h7c/h04/51847207583774/699314_main.jpg?im=Resize=1700</t>
  </si>
  <si>
    <t>صافيو حليب بطعم الفانيليا طويل الأجل 185مل</t>
  </si>
  <si>
    <t>Nadec Fresh Mango Laban Drink 180ml</t>
  </si>
  <si>
    <t>https://cdn.mafrservices.com/sys-master-root/hc2/hec/46509995327518/694786_main.jpg?im=Resize=1700</t>
  </si>
  <si>
    <t>السعودية حليب بنكهة المانجو 200مل ×18</t>
  </si>
  <si>
    <t>Safio UHT Vanilla Milk 185ml</t>
  </si>
  <si>
    <t>https://cdn.mafrservices.com/pim-content/SAU/media/product/741385/1731226804/741385_main.jpg?im=Resize=1700</t>
  </si>
  <si>
    <t>بلدي - كرات لبنة صغيرة بالفلفل الحار</t>
  </si>
  <si>
    <t>Saudia - Mango Flavored Milk 200ml x18</t>
  </si>
  <si>
    <t>https://cdn.mafrservices.com/pim-content/SAU/media/product/749086/1747643403/749086_main.jpg?im=Resize=1700</t>
  </si>
  <si>
    <t>بوني - مشروب حليب بنكهة الفراولة 250 مل</t>
  </si>
  <si>
    <t>Balade - Mini Labneh Ball Chili</t>
  </si>
  <si>
    <t>https://cdn.mafrservices.com/pim-content/SAU/media/product/284310/1750080603/284310_main.jpg?im=Resize=1700</t>
  </si>
  <si>
    <t>ندى جونيور حليب طويل الأجل بنكهة الفراولة 125مل</t>
  </si>
  <si>
    <t>Bonny - Strawberry Flavored Milk Drink 250ml</t>
  </si>
  <si>
    <t>https://cdn.mafrservices.com/sys-master-root/h08/h61/29830882000926/153270_main.jpg?im=Resize=1700</t>
  </si>
  <si>
    <t>البقرة الضاحكة جبنة مثلثات الاصلية قابلة للدهن ، 16 قطعة ، 240جرام</t>
  </si>
  <si>
    <t>Nada Junior Milk Strawberry 125ml</t>
  </si>
  <si>
    <t>https://cdn.mafrservices.com/sys-master-root/hfa/h23/13222303072286/58643_main.jpg?im=Resize=1700</t>
  </si>
  <si>
    <t>ندى لبن كامل الدسم 360 مل</t>
  </si>
  <si>
    <t>La Vache qui rit Original Spreadable Cheese Triangles 240g</t>
  </si>
  <si>
    <t>https://cdn.mafrservices.com/sys-master-root/h10/h80/10222636695582/517986_main.jpg?im=Resize=1700</t>
  </si>
  <si>
    <t>نادك شبيه جبنة مثلثات 360 جرام</t>
  </si>
  <si>
    <t>Nada Full Fat Laban 360ml</t>
  </si>
  <si>
    <t>https://cdn.mafrservices.com/sys-master-root/he7/h38/9240720998430/327561_main.jpg?im=Resize=1700</t>
  </si>
  <si>
    <t>حليب لونا طويل الأمد بنكهة الموز 200 مل</t>
  </si>
  <si>
    <t>Nadec Analogue Cheese Triangle 360g</t>
  </si>
  <si>
    <t>https://cdn.mafrservices.com/sys-master-root/h7c/h89/50564267999262/670660_main.jpg?im=Resize=1700</t>
  </si>
  <si>
    <t>ندى حليب بالفراولة 200 مل</t>
  </si>
  <si>
    <t>Luna UHT Banana Milk 200ml</t>
  </si>
  <si>
    <t>200 ml</t>
  </si>
  <si>
    <t>https://cdn.mafrservices.com/sys-master-root/h8c/h8e/46509915144222/533691_main.jpg?im=Resize=1700</t>
  </si>
  <si>
    <t>جالكسي حليب شوكولاتة مميزة، 1 لتر</t>
  </si>
  <si>
    <t>Nada azzoz strawberry milk 200ml</t>
  </si>
  <si>
    <t>https://cdn.mafrservices.com/pim-content/SAU/media/product/746981/1739949004/746981_main.jpg?im=Resize=1700</t>
  </si>
  <si>
    <t>برايد (شبيه جبنة)  للطهي 400 جرام</t>
  </si>
  <si>
    <t>Galaxy Signature Chocolate Drink 1L</t>
  </si>
  <si>
    <t>https://cdn.mafrservices.com/sys-master-root/h6e/he5/27344530800670/376751_main.jpg?im=Resize=1700</t>
  </si>
  <si>
    <t>فرسانا (شبيه جبنة) موزاريلا مبشورة 1 كجم</t>
  </si>
  <si>
    <t>Pride Cooking Slice Analogue Cheese 400g</t>
  </si>
  <si>
    <t>https://cdn.mafrservices.com/sys-master-root/hef/h64/14570234183710/127782_main.jpg?im=Resize=1700</t>
  </si>
  <si>
    <t>برايد شرائح جبن  250 جرام</t>
  </si>
  <si>
    <t>Forsana Mozzarella Analogue Chees Shredded 1kg</t>
  </si>
  <si>
    <t>https://cdn.mafrservices.com/sys-master-root/hb7/hdb/14686155014174/8819_main.jpg?im=Resize=1700</t>
  </si>
  <si>
    <t>فرسانا  (شبيه جبنة) موزاريلا مبشورة 200 جرام</t>
  </si>
  <si>
    <t>Pride Fancy Cheese Slices 250g</t>
  </si>
  <si>
    <t>https://cdn.mafrservices.com/sys-master-root/h24/h45/12778278912030/127784_main.jpg?im=Resize=1700</t>
  </si>
  <si>
    <t>فرسانا  (شبيه جبنة) جبن شيدر 1 كجم</t>
  </si>
  <si>
    <t>Forsana Mozzarella Analogue Chees Shredded 200g</t>
  </si>
  <si>
    <t>https://cdn.mafrservices.com/sys-master-root/hb0/h65/14570234118174/497816_main.jpg?im=Resize=1700</t>
  </si>
  <si>
    <t>بلدي كرات لبنة مع الفلفل الحار، 500 جرام</t>
  </si>
  <si>
    <t>Forsana Analogue Chees Block Cheddar 1 Kg</t>
  </si>
  <si>
    <t>https://cdn.mafrservices.com/pim-content/SAU/media/product/745097/1737531006/745097_main.jpg?im=Resize=1700</t>
  </si>
  <si>
    <t>يوني جولد زبدة غير مملحة مخلوطة</t>
  </si>
  <si>
    <t>Balade Labneh Balls with Chilli, 500g</t>
  </si>
  <si>
    <t>https://cdn.mafrservices.com/pim-content/SAU/media/product/746894/1744034403/746894_main.jpg?im=Resize=1700</t>
  </si>
  <si>
    <t>صافيو حليب طويل الأجل بالموز 140مل</t>
  </si>
  <si>
    <t>Uni Gold Unsalted Butter Blended</t>
  </si>
  <si>
    <t>https://cdn.mafrservices.com/sys-master-root/h1e/h6b/34769729912862/694778_main.jpg?im=Resize=1700</t>
  </si>
  <si>
    <t>صافيو حليب طويل الأجل بنكهة الفراولة 185 مل</t>
  </si>
  <si>
    <t>Safio UHT Banana Milk 140ml</t>
  </si>
  <si>
    <t>185g</t>
  </si>
  <si>
    <t>https://cdn.mafrservices.com/sys-master-root/hb4/h74/46472459681822/694785_main.jpg?im=Resize=1700</t>
  </si>
  <si>
    <t>المراعي جبن شيدر قابلة للدهن 200 جرام</t>
  </si>
  <si>
    <t>Safio UHT Strawberry Milk 185ml</t>
  </si>
  <si>
    <t>https://cdn.mafrservices.com/sys-master-root/hb0/h2e/50520426840094/564733_main.jpg?im=Resize=1700</t>
  </si>
  <si>
    <t>ندى حليب طويل الأجل بنكهة الشوكولاتة 185 مل</t>
  </si>
  <si>
    <t>Almarai Spreadable Cheddar Cheese 200g</t>
  </si>
  <si>
    <t>https://cdn.mafrservices.com/sys-master-root/hf2/h92/9190360809502/533683_main.jpg?im=Resize=1700</t>
  </si>
  <si>
    <t>الربيع حليب الفراولة 185 مل</t>
  </si>
  <si>
    <t>Nada Danyah Milk Long Life Chocolate Flavored 185ml</t>
  </si>
  <si>
    <t>https://cdn.mafrservices.com/pim-content/SAU/media/product/117478/1721309405/117478_main.jpg?im=Resize=1700</t>
  </si>
  <si>
    <t>لونا ايس كابتشينو كامل 240 مل</t>
  </si>
  <si>
    <t>Al Rabie UHT Strawberry Milk 185ml</t>
  </si>
  <si>
    <t>https://cdn.mafrservices.com/sys-master-root/h56/h85/14953253666846/662829_main.jpg?im=Resize=1700</t>
  </si>
  <si>
    <t>الربيع حليب البسكويت بالشوكولاتة 125 مل</t>
  </si>
  <si>
    <t>Luna Ice CoFull Fatee Cappuccino 240Ml</t>
  </si>
  <si>
    <t>https://cdn.mafrservices.com/pim-content/SAU/media/product/708416/1721311204/708416_main.jpg?im=Resize=1700</t>
  </si>
  <si>
    <t>ندى حليب طويل الأمد كامل الدسم 200 مل</t>
  </si>
  <si>
    <t>Al Rabie Chocolate Biscuit Milk 125ml</t>
  </si>
  <si>
    <t>https://cdn.mafrservices.com/sys-master-root/h3b/h3e/46509913341982/571268_main.jpg?im=Resize=1700</t>
  </si>
  <si>
    <t>آرلا بودينج بروتين بنكهة لاتيه البندق 200 جرام</t>
  </si>
  <si>
    <t>Nada azzoz full fat long life milk 200ml</t>
  </si>
  <si>
    <t>https://cdn.mafrservices.com/pim-content/SAU/media/product/748823/1744621203/748823_main.jpg?im=Resize=1700</t>
  </si>
  <si>
    <t>نادك حليب طويل الأجل بنكهة الفراولة 185مل</t>
  </si>
  <si>
    <t>Arla Protein Hazelnut Latte Flavor Pudding 200g</t>
  </si>
  <si>
    <t>https://cdn.mafrservices.com/sys-master-root/h61/h66/46472457420830/632508_main.jpg?im=Resize=1700</t>
  </si>
  <si>
    <t>قوس قزح حليب  كامل الدسم 185 مل</t>
  </si>
  <si>
    <t>Nadec UHT Milk Strawberry Flavored 185ml</t>
  </si>
  <si>
    <t>https://cdn.mafrservices.com/sys-master-root/h11/hfe/10640625500190/485114_main.jpg?im=Resize=1700</t>
  </si>
  <si>
    <t>صافيو حليب بطعم الموز طويل الأجل 185مل</t>
  </si>
  <si>
    <t>Rainbow Long Life Full Cream Milk 185ml</t>
  </si>
  <si>
    <t>https://cdn.mafrservices.com/sys-master-root/h4d/h32/46392698142750/694784_main.jpg?im=Resize=1700</t>
  </si>
  <si>
    <t>هناء حليب بنكهة الموز 240 مل</t>
  </si>
  <si>
    <t>Safio UHT Banana Milk 185ml</t>
  </si>
  <si>
    <t>Hanaa</t>
  </si>
  <si>
    <t>https://cdn.mafrservices.com/sys-master-root/h78/h50/51847211581470/722536_main.jpg?im=Resize=1700</t>
  </si>
  <si>
    <t>السعودية حليب بالفانيليا 200 ملل</t>
  </si>
  <si>
    <t>Hanaa Banana Flavoured Milk 240ml</t>
  </si>
  <si>
    <t>https://cdn.mafrservices.com/sys-master-root/hb0/h14/49823128846366/699718_main.jpg?im=Resize=1700</t>
  </si>
  <si>
    <t>أكتيفيا زبادي جو بالكيوي والفراولة 280 مل</t>
  </si>
  <si>
    <t>Saudia Vanilla Milk 200ml</t>
  </si>
  <si>
    <t>https://cdn.mafrservices.com/sys-master-root/h89/h9c/9027105816606/589371_main.jpg?im=Resize=1700</t>
  </si>
  <si>
    <t>بلدي فارمز - خليط مكدوس وجبنة 500 جرام</t>
  </si>
  <si>
    <t>Activia Yoghurt Go Drinkable Yogurt Snack Kiwi-Strawberry 280ml</t>
  </si>
  <si>
    <t>https://cdn.mafrservices.com/pim-content/SAU/media/product/740339/1726575003/740339_main.jpg?im=Resize=1700</t>
  </si>
  <si>
    <t>المراعي فول مع الحمص 50 جرام</t>
  </si>
  <si>
    <t>Balade Farms - Makdous &amp;amp; Cheese Mix 500g</t>
  </si>
  <si>
    <t>50g</t>
  </si>
  <si>
    <t>https://cdn.mafrservices.com/sys-master-root/h6d/h1d/51206624837662/720952_main.jpg?im=Resize=1700</t>
  </si>
  <si>
    <t>السعودية حليب صويا بنكهة الفانيلا 1لتر</t>
  </si>
  <si>
    <t>Al Marai Foul With Hummus 50g</t>
  </si>
  <si>
    <t>https://cdn.mafrservices.com/sys-master-root/h86/h34/50229194915870/574877_main.jpg?im=Resize=1700</t>
  </si>
  <si>
    <t>نادك زبادي  سادة 160 جرام</t>
  </si>
  <si>
    <t>Saudia Vanilla Flavored Soya Milk 1L</t>
  </si>
  <si>
    <t>https://cdn.mafrservices.com/sys-master-root/h7c/he3/49909754003486/696320_main.jpg?im=Resize=1700</t>
  </si>
  <si>
    <t>نادك حليب طويل الأجل 200 مل</t>
  </si>
  <si>
    <t>Nadec Grk Yog Plain Lf 160g</t>
  </si>
  <si>
    <t>https://cdn.mafrservices.com/sys-master-root/h61/h87/9323311071262/53205_main.jpg?im=Resize=1700</t>
  </si>
  <si>
    <t>الصافي لبن كامل الدسم 360مل</t>
  </si>
  <si>
    <t>Nadec Whole Milk Long Life 200 ml</t>
  </si>
  <si>
    <t>https://cdn.mafrservices.com/sys-master-root/hcf/h21/26993930305566/564728_main.jpg?im=Resize=1700</t>
  </si>
  <si>
    <t>الصافي حليب طازج كامل الدسم 360 مل</t>
  </si>
  <si>
    <t>Al Safi Full Fat Laban 360ml</t>
  </si>
  <si>
    <t>https://cdn.mafrservices.com/sys-master-root/h35/h28/26993930141726/562100_main.jpg?im=Resize=1700</t>
  </si>
  <si>
    <t>المراعي حليب طويل الأجل كامل الدسم 200 مل</t>
  </si>
  <si>
    <t>Al Safi Full Fat Fresh Milk 360ml</t>
  </si>
  <si>
    <t>https://cdn.mafrservices.com/sys-master-root/h00/hdb/11671575363614/542661_main.jpg?im=Resize=1700</t>
  </si>
  <si>
    <t>نادك زبادي طازج قليل الدسم 2 كجم</t>
  </si>
  <si>
    <t>Almarai Long Life Full Fat Milk 200ml</t>
  </si>
  <si>
    <t>https://cdn.mafrservices.com/sys-master-root/hee/h94/9323311464478/509169_main.jpg?im=Resize=1700</t>
  </si>
  <si>
    <t xml:space="preserve">دومتي فيتا بلس شبيه جبنة بيضاء كاملة الدسم – غنية بالحليب – 250 جرام
</t>
  </si>
  <si>
    <t>Nadec Fresh Yoghurt Low Fat 2kg</t>
  </si>
  <si>
    <t>https://cdn.mafrservices.com/pim-content/SAU/media/product/748811/1753105400/748811_main.jpg?im=Resize=1700</t>
  </si>
  <si>
    <t>ندى زبادي كامل الدسم 170 جرام × 6</t>
  </si>
  <si>
    <t>Domti Veta Plus White Cheese &amp;ndash; Full Cream Feta Cheese Analogue &amp;ndash; Rich in Milk &amp;ndash; 250g</t>
  </si>
  <si>
    <t>https://cdn.mafrservices.com/sys-master-root/h53/hd9/28679477067806/575660_main.jpg?im=Resize=1700</t>
  </si>
  <si>
    <t>ألبرو مشروب فانيليا باريستا مصنوع من الشوفان والصويا 750 مل</t>
  </si>
  <si>
    <t>Nada Full Fat Yogurt 170g &amp;times; 6</t>
  </si>
  <si>
    <t>https://cdn.mafrservices.com/pim-content/SAU/media/product/750586/1751955004/750586_main.jpg?im=Resize=1700</t>
  </si>
  <si>
    <t>نادك حليب بنهكة الموز 125مل</t>
  </si>
  <si>
    <t>Alpro Vanilla Drink Barista Made From Oat &amp;amp; Soya 750ml</t>
  </si>
  <si>
    <t>https://cdn.mafrservices.com/pim-content/SAU/media/product/632522/1736861403/632522_main.jpg?im=Resize=1700</t>
  </si>
  <si>
    <t>المراعي حليب طازج قليل الدسم مع إضافة فيتامينات 180 مل</t>
  </si>
  <si>
    <t>Nadec Long Life Banana Milk 125ml</t>
  </si>
  <si>
    <t>https://cdn.mafrservices.com/sys-master-root/h17/h4d/50520421466142/480632_main.jpg?im=Resize=1700</t>
  </si>
  <si>
    <t>باسكن روبينز حليب بطعم الشوكولاتة، 180 مل</t>
  </si>
  <si>
    <t>Almarai Low Fat Fresh Milk With Added Vitamins 180ml</t>
  </si>
  <si>
    <t>https://cdn.mafrservices.com/pim-content/SAU/media/product/744245/1736160003/744245_main.jpg?im=Resize=1700</t>
  </si>
  <si>
    <t>بالاد حليب كفير، فراولة، 225 مل</t>
  </si>
  <si>
    <t>Baskin Robbins Chocolate Milk, 180ml</t>
  </si>
  <si>
    <t>https://cdn.mafrservices.com/pim-content/SAU/media/product/744188/1736160003/744188_main.jpg?im=Resize=1700</t>
  </si>
  <si>
    <t>الصافي حليب منزوع الدسم 1لتر</t>
  </si>
  <si>
    <t>Balade Kefir Milk, Strawberry, 225ml</t>
  </si>
  <si>
    <t>https://cdn.mafrservices.com/sys-master-root/h20/hd8/26993929846814/47473_main.jpg?im=Resize=1700</t>
  </si>
  <si>
    <t>دانيت حلى بودينج بطعم الفانيليا 75 جرام + كرات الشوكولاتة 7 جرام</t>
  </si>
  <si>
    <t>Al Safi UHT Skimmed Milk 1L</t>
  </si>
  <si>
    <t>75g+6g</t>
  </si>
  <si>
    <t>https://cdn.mafrservices.com/sys-master-root/h30/h54/49346544042014/701969_main.jpg?im=Resize=1700</t>
  </si>
  <si>
    <t xml:space="preserve">نادك لبنة زيتون فاخرة طرية وكريمية 180 جرام </t>
  </si>
  <si>
    <t>Danette Vanilla Pudding Dessert 75g + 6g Choco Balls</t>
  </si>
  <si>
    <t>https://cdn.mafrservices.com/pim-content/SAU/media/product/747846/1745747404/747846_main.jpg?im=Resize=1700</t>
  </si>
  <si>
    <t xml:space="preserve">دومتي فيتا جبنة بيضاء – شبيه جبن فيتا كامل الدسم – 700 جرام
</t>
  </si>
  <si>
    <t xml:space="preserve">NADEC Premium Olive Labneh Soft &amp;amp; Creamy, 180g  </t>
  </si>
  <si>
    <t>Domty</t>
  </si>
  <si>
    <t>https://cdn.mafrservices.com/pim-content/SAU/media/product/627425/1753105272/627425_main.jpg?im=Resize=1700</t>
  </si>
  <si>
    <t>دومتي فيتا بلس شبيه جبنة بيضاء بطعم الزيتون كاملة الدسم – غنية بالحليب – 250 جرام</t>
  </si>
  <si>
    <t xml:space="preserve">Domti Veta White Cheese &amp;ndash; Feta Cheese Analogue Full Cream &amp;ndash; 700g
</t>
  </si>
  <si>
    <t>https://cdn.mafrservices.com/pim-content/SAU/media/product/748812/1753105430/748812_main.jpg?im=Resize=1700</t>
  </si>
  <si>
    <t>سفن ديز كيك بار الشوكولاتة 200 جرام</t>
  </si>
  <si>
    <t>Domti Veta Plus White Cheese with Olive Flavor &amp;ndash; Full Cream Feta Cheese Analogue &amp;ndash; Rich in Milk &amp;ndash; 250g</t>
  </si>
  <si>
    <t>7Days</t>
  </si>
  <si>
    <t>40gx5</t>
  </si>
  <si>
    <t>https://cdn.mafrservices.com/sys-master-root/h5d/h08/49411375628318/696086_main.jpg?im=Resize=1700</t>
  </si>
  <si>
    <t>جالاكسي كيك بار الفانيليا 27 جرام</t>
  </si>
  <si>
    <t>7Days Chocolate Cake Bar 200g</t>
  </si>
  <si>
    <t>https://cdn.mafrservices.com/sys-master-root/h9a/h47/63823319302174/734486_main.jpg?im=Resize=1700</t>
  </si>
  <si>
    <t>لونا حليب طويل الأمد بنكهة الفانيلا 200 مل</t>
  </si>
  <si>
    <t>Galaxy Vanilla Cake Bar 27g</t>
  </si>
  <si>
    <t>https://cdn.mafrservices.com/sys-master-root/h37/h3c/50564269572126/670663_main.jpg?im=Resize=1700</t>
  </si>
  <si>
    <t>دومتي شبيه جبن أبيض دبل كريم – 700 جرام</t>
  </si>
  <si>
    <t>Luna UHT Vanilla Milk 200ml</t>
  </si>
  <si>
    <t>https://cdn.mafrservices.com/pim-content/SAU/media/product/627426/1753105308/627426_main.jpg?im=Resize=1700</t>
  </si>
  <si>
    <t>الصافي حليب طازج كامل الدسم 180 مل</t>
  </si>
  <si>
    <t>Domti Double Cream Cheese &amp;ndash; White Cheese Analogue &amp;ndash; 700g</t>
  </si>
  <si>
    <t>https://cdn.mafrservices.com/pim-content/SAU/media/product/730098/1722351603/730098_main.jpg?im=Resize=1700</t>
  </si>
  <si>
    <t>المراعي جبنه فيتا عالية الجودة كاملة الدسم 400 غرام</t>
  </si>
  <si>
    <t>Al Safi Fresh Full Fat Milk 180ml</t>
  </si>
  <si>
    <t>https://cdn.mafrservices.com/sys-master-root/hcc/h97/50520423989278/516177_main.jpg?im=Resize=1700</t>
  </si>
  <si>
    <t>بلدي جبنة فيتا</t>
  </si>
  <si>
    <t>Almarai Premium Full Fat Feta Cheese 400g</t>
  </si>
  <si>
    <t>https://cdn.mafrservices.com/pim-content/SAU/media/product/749083/1746374403/749083_main.jpg?im=Resize=1700</t>
  </si>
  <si>
    <t>داري جبنة حلومي  مع فلفل أحمر حار 225 جرام</t>
  </si>
  <si>
    <t>Balade Feta Cheese</t>
  </si>
  <si>
    <t>https://cdn.mafrservices.com/sys-master-root/h98/h9c/10371958603806/554833_main.jpg?im=Resize=1700</t>
  </si>
  <si>
    <t>السعودية حليب كامل الدسم طويل الأجل 125 مل</t>
  </si>
  <si>
    <t>Dari Halloumi Cheese With Red Chili Peper 225g</t>
  </si>
  <si>
    <t>https://cdn.mafrservices.com/sys-master-root/hfd/h08/44240647520286/614805_main.jpg?im=Resize=1700</t>
  </si>
  <si>
    <t>دانيت حلى بودينج بطعم الشوكولاتة 75 جرام + قطع شوكولاتة 7 جرام</t>
  </si>
  <si>
    <t>Saudia Long Life Full Fat Milk 125ml</t>
  </si>
  <si>
    <t>75g+7g</t>
  </si>
  <si>
    <t>https://cdn.mafrservices.com/sys-master-root/hfe/h08/49411388211230/701968_main.jpg?im=Resize=1700</t>
  </si>
  <si>
    <t>تلال غوار - عجينة كنافة 600 جرام</t>
  </si>
  <si>
    <t>Danette Chocolate Pudding Dessert 75g + 7g Candy Beans</t>
  </si>
  <si>
    <t>https://cdn.mafrservices.com/sys-master-root/hf3/h83/63823207333918/626865_main.jpg?im=Resize=1700</t>
  </si>
  <si>
    <t>بلدي فارمز - خليط الشنكليش والجبن 500 جرام</t>
  </si>
  <si>
    <t>Telal Ghawar - Kunafa Dough 600g</t>
  </si>
  <si>
    <t>https://cdn.mafrservices.com/pim-content/SAU/media/product/740342/1726575003/740342_main.jpg?im=Resize=1700</t>
  </si>
  <si>
    <t>فيولايف جبنه بيضاء يونانية 230 غرام</t>
  </si>
  <si>
    <t>Balade Farms - Chanklish &amp;amp; Cheese Mix 500g</t>
  </si>
  <si>
    <t>https://cdn.mafrservices.com/sys-master-root/h4f/h62/13926242287646/657174_main.jpg?im=Resize=1700</t>
  </si>
  <si>
    <t>بلدي جبنة فيتا بزيت الزيتون، 500 جرام</t>
  </si>
  <si>
    <t>Violife Greek White Cheese Block 230g</t>
  </si>
  <si>
    <t>https://cdn.mafrservices.com/pim-content/SAU/media/product/745076/1736163604/745076_main.jpg?im=Resize=1700</t>
  </si>
  <si>
    <t>بلدي فارمز - جبنة فيتا خالية من اللاكتوز 150 جرام</t>
  </si>
  <si>
    <t>Balade Fetta Cheese in Olive Oil, 500g</t>
  </si>
  <si>
    <t>https://cdn.mafrservices.com/pim-content/SAU/media/product/740337/1726575003/740337_main.jpg?im=Resize=1700</t>
  </si>
  <si>
    <t>لبن نادك الطازج بنكهة الفراولة 180 مل</t>
  </si>
  <si>
    <t>Balade Farms - Lactos Free Feta Cheese 150g</t>
  </si>
  <si>
    <t>https://cdn.mafrservices.com/sys-master-root/h01/h3b/15128693178398/588195_main.jpg?im=Resize=1700</t>
  </si>
  <si>
    <t>ديلامير حليب ماعز كامل طويل الأجل 1 لتر</t>
  </si>
  <si>
    <t>Nadec Fresh Laban Strawberry 180ml</t>
  </si>
  <si>
    <t>Delamere</t>
  </si>
  <si>
    <t>https://cdn.mafrservices.com/pim-content/SAU/media/product/632346/1740639603/632346_main.jpg?im=Resize=1700</t>
  </si>
  <si>
    <t>إيل أند فير كريمة طبخ 500 مل</t>
  </si>
  <si>
    <t>Delamere Long Life Whole Goat Milk 1L</t>
  </si>
  <si>
    <t>https://cdn.mafrservices.com/sys-master-root/hea/h3d/9027307896862/583038_main.jpg?im=Resize=1700</t>
  </si>
  <si>
    <t>بلدي كرات لبنة صغيرة مع زعتر</t>
  </si>
  <si>
    <t>Elle &amp;amp; Vire Cooking Cream 500 ml</t>
  </si>
  <si>
    <t>https://cdn.mafrservices.com/pim-content/SAU/media/product/749087/1745500204/749087_main.jpg?im=Resize=1700</t>
  </si>
  <si>
    <t>الصافي كريمة طبخ 1 لتر</t>
  </si>
  <si>
    <t>Balade Mini Labneh Ball With Zatar</t>
  </si>
  <si>
    <t>https://cdn.mafrservices.com/sys-master-root/h36/h03/49716355039262/699635_main.jpg?im=Resize=1700</t>
  </si>
  <si>
    <t>يوبرو حليب ماتشا بروتين 300 مل</t>
  </si>
  <si>
    <t>Al Safi Cooking Cream 1l</t>
  </si>
  <si>
    <t>https://cdn.mafrservices.com/pim-content/SAU/media/product/748990/1745500204/748990_main.jpg?im=Resize=1700</t>
  </si>
  <si>
    <t>فيولايف جبنة  نباتية بنكهة الشيدر 200 جرام</t>
  </si>
  <si>
    <t>Yopro Protein Matcha Milk 300ml</t>
  </si>
  <si>
    <t>https://cdn.mafrservices.com/sys-master-root/h70/h55/13926242615326/657175_main.jpg?im=Resize=1700</t>
  </si>
  <si>
    <t>بوني حليب بنكهة الموز 250 مل</t>
  </si>
  <si>
    <t>Violife Cheddar Cheese Block 200g</t>
  </si>
  <si>
    <t>https://cdn.mafrservices.com/sys-master-root/hfb/h18/14055380287518/131446_main.jpg?im=Resize=1700</t>
  </si>
  <si>
    <t>ندى عزوز حليب بالشوكولاتة 185 مل</t>
  </si>
  <si>
    <t>Bonny Flavored Milk Banana 250ml</t>
  </si>
  <si>
    <t>https://cdn.mafrservices.com/sys-master-root/hab/h95/15605204811806/533689_main.jpg?im=Resize=1700</t>
  </si>
  <si>
    <t>فيولايف شرائح الجبن بالنكهة الأصلية 140 غرام</t>
  </si>
  <si>
    <t>Nada Azzoz Chocolate Milk 185ml</t>
  </si>
  <si>
    <t>https://cdn.mafrservices.com/sys-master-root/h37/h00/13926243008542/657184_main.jpg?im=Resize=1700</t>
  </si>
  <si>
    <t>ندى جونيور حليب 125 ملل</t>
  </si>
  <si>
    <t>Violife Vegan Original Flavor Slice 140g</t>
  </si>
  <si>
    <t>https://cdn.mafrservices.com/sys-master-root/h4c/h16/29830881935390/153266_main.jpg?im=Resize=1700</t>
  </si>
  <si>
    <t>نادك حليب طازج منكه بالشوكولاتة وجوز الهند 225 مل</t>
  </si>
  <si>
    <t>Nada Junior Milk 125ml</t>
  </si>
  <si>
    <t>https://cdn.mafrservices.com/pim-content/SAU/media/product/747840/1744007403/747840_main.jpg?im=Resize=1700</t>
  </si>
  <si>
    <t>هناء حليب بنكهة الفراولة 240 مل</t>
  </si>
  <si>
    <t>Nadec Chocolate &amp;amp; Coconut Flavored Fresh Milk 225ml</t>
  </si>
  <si>
    <t>https://cdn.mafrservices.com/sys-master-root/h92/h45/51847211221022/722537_main.jpg?im=Resize=1700</t>
  </si>
  <si>
    <t>فوشيا كعكة الفانيليا المستديرة 70 جرام</t>
  </si>
  <si>
    <t>Hanaa Strawberry Flavour Milk 240ml</t>
  </si>
  <si>
    <t>70g</t>
  </si>
  <si>
    <t>https://cdn.mafrservices.com/sys-master-root/h14/h4c/63823204712478/226977_main.jpg?im=Resize=1700</t>
  </si>
  <si>
    <t>فوسيا كب كيك سادة</t>
  </si>
  <si>
    <t>Fucshia Round Vanilla Cake 70g</t>
  </si>
  <si>
    <t>https://cdn.mafrservices.com/sys-master-root/hca/h14/14686050058270/226962_main.jpg?im=Resize=1700</t>
  </si>
  <si>
    <t>لونا قهوة مثلجة بالبروتين كراميل ‎240مل × 24‎</t>
  </si>
  <si>
    <t>Fusia Plain Cup Cake</t>
  </si>
  <si>
    <t>240ml x24</t>
  </si>
  <si>
    <t>https://cdn.mafrservices.com/pim-content/SAU/media/product/745024/1737538204/745024_main.jpg?im=Resize=1700</t>
  </si>
  <si>
    <t>سنيكرز حليب بنكهة الشوكولاتة (قليل الدسم) 414 مل</t>
  </si>
  <si>
    <t>Luna Iced Coffee Protein Caramel 240ml x24</t>
  </si>
  <si>
    <t>Snickers</t>
  </si>
  <si>
    <t>414ml</t>
  </si>
  <si>
    <t>https://cdn.mafrservices.com/pim-content/SAU/media/product/749673/1747573204/749673_main.jpg?im=Resize=1700</t>
  </si>
  <si>
    <t>برايد بلوك - خفيف ولذيذ قليل الدسم - 1 كج</t>
  </si>
  <si>
    <t>Snickers Flavored Chocolate Milk (Reduced Fat) 414ml</t>
  </si>
  <si>
    <t>https://cdn.mafrservices.com/sys-master-root/h26/h9c/46509928185886/8833_main.jpg?im=Resize=1700</t>
  </si>
  <si>
    <t>يو-برو زبادي بروتين تريبل زيرو بنكهة التوت المشكل 150 جرام – 15 جم بروتين، بدون سكر مضاف، خالٍ من الدهون والمواد الحافظة</t>
  </si>
  <si>
    <t>Pride Block Light Tasty Low Fat 1kg</t>
  </si>
  <si>
    <t>https://cdn.mafrservices.com/pim-content/SAU/media/product/751810/1753183279/751810_main.jpg?im=Resize=1700</t>
  </si>
  <si>
    <t>ريفليتس دي فرانس بريات سافارين 200 جرام</t>
  </si>
  <si>
    <t>YOPRO Triple Zero Protein Yogurt Mixed Berries 150g &amp;ndash; 15g Protein, No Added Sugar, Fat-Free, No Preservatives</t>
  </si>
  <si>
    <t>https://cdn.mafrservices.com/sys-master-root/hec/hcc/11709569597470/372245_main.jpg?im=Resize=1700</t>
  </si>
  <si>
    <t>لونا قهوة مثلجة بالبروتين إسبريسو ‎240مل × 24‎</t>
  </si>
  <si>
    <t>Reflets De France Brillat Savarin Cheese 200g</t>
  </si>
  <si>
    <t>https://cdn.mafrservices.com/pim-content/SAU/media/product/745026/1737538204/745026_main.jpg?im=Resize=1700</t>
  </si>
  <si>
    <t>أمول زبدة غير مملحة 500 جرام</t>
  </si>
  <si>
    <t>Luna Iced Coffee Protein Espresso 240ml x24</t>
  </si>
  <si>
    <t>https://cdn.mafrservices.com/sys-master-root/h8b/h79/63422433656862/622252_main.jpg?im=Resize=1700</t>
  </si>
  <si>
    <t>حليب شوكولاتة تويكس بنكهة (قليل الدسم) 414 جرام</t>
  </si>
  <si>
    <t>Amul Unsalted Butter 500g</t>
  </si>
  <si>
    <t>Twix</t>
  </si>
  <si>
    <t>414g</t>
  </si>
  <si>
    <t>https://cdn.mafrservices.com/pim-content/SAU/media/product/749672/1747643403/749672_main.jpg?im=Resize=1700</t>
  </si>
  <si>
    <t>ندى بسمة حليب طويل الأجل كامل الدسم 185مل</t>
  </si>
  <si>
    <t>Twix Flavored Chocolate Milk (Fat Reduced) 414g</t>
  </si>
  <si>
    <t>185 ml</t>
  </si>
  <si>
    <t>https://cdn.mafrservices.com/sys-master-root/h6c/h0a/50132768391198/571270_main.jpg?im=Resize=1700</t>
  </si>
  <si>
    <t>ميلكي واي حليب شوكولاتة بنكهة (قليل الدسم) 414 جرام</t>
  </si>
  <si>
    <t>Nada Basma Long Life Full Fat Milk 185ml</t>
  </si>
  <si>
    <t>Milky way</t>
  </si>
  <si>
    <t>https://cdn.mafrservices.com/pim-content/SAU/media/product/749674/1747728003/749674_main.jpg?im=Resize=1700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</si>
</sst>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rightToLeft="1" tabSelected="1" workbookViewId="0">
      <selection activeCell="A6" sqref="A6"/>
    </sheetView>
  </sheetViews>
  <sheetFormatPr defaultRowHeight="15" x14ac:dyDescent="0.25"/>
  <cols>
    <col min="1" max="1" width="19.28515625" style="6" customWidth="1"/>
    <col min="2" max="3" width="19.28515625" customWidth="1"/>
    <col min="4" max="7" width="19.28515625" style="6" customWidth="1"/>
    <col min="8" max="10" width="19.28515625" style="4" customWidth="1"/>
    <col min="11" max="12" width="19.28515625" style="6" customWidth="1"/>
    <col min="13" max="13" width="19.28515625" customWidth="1"/>
  </cols>
  <sheetData>
    <row r="1" spans="1:13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 t="str">
        <f>"2140482000001"</f>
        <v>2140482000001</v>
      </c>
      <c r="B2" s="2" t="s">
        <v>13</v>
      </c>
      <c r="C2" s="2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3"/>
      <c r="I2" s="3"/>
      <c r="J2" s="3"/>
      <c r="K2" s="5" t="s">
        <v>19</v>
      </c>
      <c r="L2" s="5">
        <v>59.95</v>
      </c>
      <c r="M2" s="2" t="s">
        <v>20</v>
      </c>
    </row>
    <row r="3" spans="1:13" x14ac:dyDescent="0.25">
      <c r="A3" s="5" t="str">
        <f>"6281022107272"</f>
        <v>6281022107272</v>
      </c>
      <c r="B3" s="2" t="s">
        <v>21</v>
      </c>
      <c r="C3" s="2" t="s">
        <v>22</v>
      </c>
      <c r="D3" s="5" t="s">
        <v>15</v>
      </c>
      <c r="E3" s="5" t="s">
        <v>16</v>
      </c>
      <c r="F3" s="5" t="s">
        <v>17</v>
      </c>
      <c r="G3" s="5" t="s">
        <v>18</v>
      </c>
      <c r="H3" s="3"/>
      <c r="I3" s="3"/>
      <c r="J3" s="3"/>
      <c r="K3" s="5" t="s">
        <v>23</v>
      </c>
      <c r="L3" s="5">
        <v>14</v>
      </c>
      <c r="M3" s="2" t="s">
        <v>24</v>
      </c>
    </row>
    <row r="4" spans="1:13" x14ac:dyDescent="0.25">
      <c r="A4" s="5" t="str">
        <f>"5290036003297"</f>
        <v>5290036003297</v>
      </c>
      <c r="B4" s="2" t="s">
        <v>25</v>
      </c>
      <c r="C4" s="2" t="s">
        <v>26</v>
      </c>
      <c r="D4" s="5" t="s">
        <v>15</v>
      </c>
      <c r="E4" s="5" t="s">
        <v>16</v>
      </c>
      <c r="F4" s="5" t="s">
        <v>17</v>
      </c>
      <c r="G4" s="5" t="s">
        <v>18</v>
      </c>
      <c r="H4" s="3" t="s">
        <v>27</v>
      </c>
      <c r="I4" s="3"/>
      <c r="J4" s="3" t="s">
        <v>28</v>
      </c>
      <c r="K4" s="5" t="s">
        <v>23</v>
      </c>
      <c r="L4" s="5">
        <v>16.5</v>
      </c>
      <c r="M4" s="2" t="s">
        <v>29</v>
      </c>
    </row>
    <row r="5" spans="1:13" x14ac:dyDescent="0.25">
      <c r="A5" s="5" t="str">
        <f>"6281007031783"</f>
        <v>6281007031783</v>
      </c>
      <c r="B5" s="2" t="s">
        <v>30</v>
      </c>
      <c r="C5" s="2" t="s">
        <v>31</v>
      </c>
      <c r="D5" s="5" t="s">
        <v>15</v>
      </c>
      <c r="E5" s="5" t="s">
        <v>16</v>
      </c>
      <c r="F5" s="5" t="s">
        <v>17</v>
      </c>
      <c r="G5" s="5" t="s">
        <v>18</v>
      </c>
      <c r="H5" s="3" t="s">
        <v>32</v>
      </c>
      <c r="I5" s="3" t="s">
        <v>33</v>
      </c>
      <c r="J5" s="3"/>
      <c r="K5" s="5" t="s">
        <v>23</v>
      </c>
      <c r="L5" s="5">
        <v>30.75</v>
      </c>
      <c r="M5" s="2" t="s">
        <v>34</v>
      </c>
    </row>
    <row r="6" spans="1:13" x14ac:dyDescent="0.25">
      <c r="A6" s="5" t="str">
        <f>"6281007065740"</f>
        <v>6281007065740</v>
      </c>
      <c r="B6" s="2" t="s">
        <v>35</v>
      </c>
      <c r="C6" s="2" t="s">
        <v>36</v>
      </c>
      <c r="D6" s="5" t="s">
        <v>15</v>
      </c>
      <c r="E6" s="5" t="s">
        <v>16</v>
      </c>
      <c r="F6" s="5" t="s">
        <v>17</v>
      </c>
      <c r="G6" s="5" t="s">
        <v>18</v>
      </c>
      <c r="H6" s="3" t="s">
        <v>37</v>
      </c>
      <c r="I6" s="3" t="s">
        <v>33</v>
      </c>
      <c r="J6" s="3" t="s">
        <v>28</v>
      </c>
      <c r="K6" s="5" t="s">
        <v>23</v>
      </c>
      <c r="L6" s="5">
        <v>17.5</v>
      </c>
      <c r="M6" s="2" t="s">
        <v>38</v>
      </c>
    </row>
    <row r="7" spans="1:13" x14ac:dyDescent="0.25">
      <c r="A7" s="5" t="str">
        <f>"6281007031240"</f>
        <v>6281007031240</v>
      </c>
      <c r="B7" s="2" t="s">
        <v>39</v>
      </c>
      <c r="C7" s="2" t="s">
        <v>40</v>
      </c>
      <c r="D7" s="5" t="s">
        <v>15</v>
      </c>
      <c r="E7" s="5" t="s">
        <v>16</v>
      </c>
      <c r="F7" s="5" t="s">
        <v>17</v>
      </c>
      <c r="G7" s="5" t="s">
        <v>18</v>
      </c>
      <c r="H7" s="3" t="s">
        <v>32</v>
      </c>
      <c r="I7" s="3" t="s">
        <v>33</v>
      </c>
      <c r="J7" s="3" t="s">
        <v>28</v>
      </c>
      <c r="K7" s="5" t="s">
        <v>23</v>
      </c>
      <c r="L7" s="5">
        <v>7.5</v>
      </c>
      <c r="M7" s="2" t="s">
        <v>41</v>
      </c>
    </row>
    <row r="8" spans="1:13" x14ac:dyDescent="0.25">
      <c r="A8" s="5" t="str">
        <f>"6281057030057"</f>
        <v>6281057030057</v>
      </c>
      <c r="B8" s="2" t="s">
        <v>42</v>
      </c>
      <c r="C8" s="2" t="s">
        <v>43</v>
      </c>
      <c r="D8" s="5" t="s">
        <v>15</v>
      </c>
      <c r="E8" s="5" t="s">
        <v>16</v>
      </c>
      <c r="F8" s="5" t="s">
        <v>17</v>
      </c>
      <c r="G8" s="5" t="s">
        <v>18</v>
      </c>
      <c r="H8" s="3" t="s">
        <v>44</v>
      </c>
      <c r="I8" s="3"/>
      <c r="J8" s="3"/>
      <c r="K8" s="5" t="s">
        <v>23</v>
      </c>
      <c r="L8" s="5">
        <v>38</v>
      </c>
      <c r="M8" s="2" t="s">
        <v>45</v>
      </c>
    </row>
    <row r="9" spans="1:13" x14ac:dyDescent="0.25">
      <c r="A9" s="5" t="str">
        <f>"6287004520060"</f>
        <v>6287004520060</v>
      </c>
      <c r="B9" s="2" t="s">
        <v>46</v>
      </c>
      <c r="C9" s="2" t="s">
        <v>47</v>
      </c>
      <c r="D9" s="5" t="s">
        <v>15</v>
      </c>
      <c r="E9" s="5" t="s">
        <v>16</v>
      </c>
      <c r="F9" s="5" t="s">
        <v>17</v>
      </c>
      <c r="G9" s="5" t="s">
        <v>18</v>
      </c>
      <c r="H9" s="3" t="s">
        <v>48</v>
      </c>
      <c r="I9" s="3"/>
      <c r="J9" s="3"/>
      <c r="K9" s="5" t="s">
        <v>23</v>
      </c>
      <c r="L9" s="5">
        <v>11.75</v>
      </c>
      <c r="M9" s="2" t="s">
        <v>49</v>
      </c>
    </row>
    <row r="10" spans="1:13" x14ac:dyDescent="0.25">
      <c r="A10" s="5" t="str">
        <f>"6281007038911"</f>
        <v>6281007038911</v>
      </c>
      <c r="B10" s="2" t="s">
        <v>50</v>
      </c>
      <c r="C10" s="2" t="s">
        <v>51</v>
      </c>
      <c r="D10" s="5" t="s">
        <v>15</v>
      </c>
      <c r="E10" s="5" t="s">
        <v>16</v>
      </c>
      <c r="F10" s="5" t="s">
        <v>17</v>
      </c>
      <c r="G10" s="5" t="s">
        <v>18</v>
      </c>
      <c r="H10" s="3" t="s">
        <v>32</v>
      </c>
      <c r="I10" s="3"/>
      <c r="J10" s="3"/>
      <c r="K10" s="5" t="s">
        <v>23</v>
      </c>
      <c r="L10" s="5">
        <v>27.25</v>
      </c>
      <c r="M10" s="2" t="s">
        <v>52</v>
      </c>
    </row>
    <row r="11" spans="1:13" x14ac:dyDescent="0.25">
      <c r="A11" s="5" t="str">
        <f>"6281000588055"</f>
        <v>6281000588055</v>
      </c>
      <c r="B11" s="2" t="s">
        <v>53</v>
      </c>
      <c r="C11" s="2" t="s">
        <v>54</v>
      </c>
      <c r="D11" s="5" t="s">
        <v>15</v>
      </c>
      <c r="E11" s="5" t="s">
        <v>16</v>
      </c>
      <c r="F11" s="5" t="s">
        <v>17</v>
      </c>
      <c r="G11" s="5" t="s">
        <v>18</v>
      </c>
      <c r="H11" s="3"/>
      <c r="I11" s="3"/>
      <c r="J11" s="3" t="s">
        <v>55</v>
      </c>
      <c r="K11" s="5" t="s">
        <v>23</v>
      </c>
      <c r="L11" s="5">
        <v>17.95</v>
      </c>
      <c r="M11" s="2" t="s">
        <v>56</v>
      </c>
    </row>
    <row r="12" spans="1:13" x14ac:dyDescent="0.25">
      <c r="A12" s="5" t="str">
        <f>"6281022126938"</f>
        <v>6281022126938</v>
      </c>
      <c r="B12" s="2" t="s">
        <v>57</v>
      </c>
      <c r="C12" s="2" t="s">
        <v>58</v>
      </c>
      <c r="D12" s="5" t="s">
        <v>15</v>
      </c>
      <c r="E12" s="5" t="s">
        <v>16</v>
      </c>
      <c r="F12" s="5" t="s">
        <v>17</v>
      </c>
      <c r="G12" s="5" t="s">
        <v>18</v>
      </c>
      <c r="H12" s="3" t="s">
        <v>59</v>
      </c>
      <c r="I12" s="3"/>
      <c r="J12" s="3" t="s">
        <v>60</v>
      </c>
      <c r="K12" s="5" t="s">
        <v>23</v>
      </c>
      <c r="L12" s="5">
        <v>3.25</v>
      </c>
      <c r="M12" s="2" t="s">
        <v>61</v>
      </c>
    </row>
    <row r="13" spans="1:13" x14ac:dyDescent="0.25">
      <c r="A13" s="5" t="str">
        <f>"6281057005512"</f>
        <v>6281057005512</v>
      </c>
      <c r="B13" s="2" t="s">
        <v>62</v>
      </c>
      <c r="C13" s="2" t="s">
        <v>63</v>
      </c>
      <c r="D13" s="5" t="s">
        <v>15</v>
      </c>
      <c r="E13" s="5" t="s">
        <v>16</v>
      </c>
      <c r="F13" s="5" t="s">
        <v>17</v>
      </c>
      <c r="G13" s="5" t="s">
        <v>18</v>
      </c>
      <c r="H13" s="3" t="s">
        <v>44</v>
      </c>
      <c r="I13" s="3"/>
      <c r="J13" s="3"/>
      <c r="K13" s="5" t="s">
        <v>23</v>
      </c>
      <c r="L13" s="5">
        <v>26.95</v>
      </c>
      <c r="M13" s="2" t="s">
        <v>64</v>
      </c>
    </row>
    <row r="14" spans="1:13" x14ac:dyDescent="0.25">
      <c r="A14" s="5" t="str">
        <f>"6281018130383"</f>
        <v>6281018130383</v>
      </c>
      <c r="B14" s="2" t="s">
        <v>65</v>
      </c>
      <c r="C14" s="2" t="s">
        <v>66</v>
      </c>
      <c r="D14" s="5" t="s">
        <v>15</v>
      </c>
      <c r="E14" s="5" t="s">
        <v>16</v>
      </c>
      <c r="F14" s="5" t="s">
        <v>17</v>
      </c>
      <c r="G14" s="5" t="s">
        <v>18</v>
      </c>
      <c r="H14" s="3" t="s">
        <v>67</v>
      </c>
      <c r="I14" s="3"/>
      <c r="J14" s="3" t="s">
        <v>68</v>
      </c>
      <c r="K14" s="5" t="s">
        <v>23</v>
      </c>
      <c r="L14" s="5">
        <v>5.45</v>
      </c>
      <c r="M14" s="2" t="s">
        <v>69</v>
      </c>
    </row>
    <row r="15" spans="1:13" x14ac:dyDescent="0.25">
      <c r="A15" s="5" t="str">
        <f>"6281007666527"</f>
        <v>6281007666527</v>
      </c>
      <c r="B15" s="2" t="s">
        <v>70</v>
      </c>
      <c r="C15" s="2" t="s">
        <v>71</v>
      </c>
      <c r="D15" s="5" t="s">
        <v>15</v>
      </c>
      <c r="E15" s="5" t="s">
        <v>16</v>
      </c>
      <c r="F15" s="5" t="s">
        <v>17</v>
      </c>
      <c r="G15" s="5" t="s">
        <v>18</v>
      </c>
      <c r="H15" s="3" t="s">
        <v>32</v>
      </c>
      <c r="I15" s="3" t="s">
        <v>33</v>
      </c>
      <c r="J15" s="3" t="s">
        <v>72</v>
      </c>
      <c r="K15" s="5" t="s">
        <v>23</v>
      </c>
      <c r="L15" s="5">
        <v>4</v>
      </c>
      <c r="M15" s="2" t="s">
        <v>73</v>
      </c>
    </row>
    <row r="16" spans="1:13" x14ac:dyDescent="0.25">
      <c r="A16" s="5" t="str">
        <f>"6281022167726"</f>
        <v>6281022167726</v>
      </c>
      <c r="B16" s="2" t="s">
        <v>74</v>
      </c>
      <c r="C16" s="2" t="s">
        <v>75</v>
      </c>
      <c r="D16" s="5" t="s">
        <v>15</v>
      </c>
      <c r="E16" s="5" t="s">
        <v>16</v>
      </c>
      <c r="F16" s="5" t="s">
        <v>17</v>
      </c>
      <c r="G16" s="5" t="s">
        <v>18</v>
      </c>
      <c r="H16" s="3"/>
      <c r="I16" s="3"/>
      <c r="J16" s="3"/>
      <c r="K16" s="5" t="s">
        <v>23</v>
      </c>
      <c r="L16" s="5">
        <v>19</v>
      </c>
      <c r="M16" s="2" t="s">
        <v>76</v>
      </c>
    </row>
    <row r="17" spans="1:13" x14ac:dyDescent="0.25">
      <c r="A17" s="5" t="str">
        <f>"6281007110501"</f>
        <v>6281007110501</v>
      </c>
      <c r="B17" s="2" t="s">
        <v>77</v>
      </c>
      <c r="C17" s="2" t="s">
        <v>78</v>
      </c>
      <c r="D17" s="5" t="s">
        <v>15</v>
      </c>
      <c r="E17" s="5" t="s">
        <v>16</v>
      </c>
      <c r="F17" s="5" t="s">
        <v>17</v>
      </c>
      <c r="G17" s="5" t="s">
        <v>18</v>
      </c>
      <c r="H17" s="3" t="s">
        <v>32</v>
      </c>
      <c r="I17" s="3" t="s">
        <v>33</v>
      </c>
      <c r="J17" s="3" t="s">
        <v>79</v>
      </c>
      <c r="K17" s="5" t="s">
        <v>23</v>
      </c>
      <c r="L17" s="5">
        <v>10.95</v>
      </c>
      <c r="M17" s="2" t="s">
        <v>80</v>
      </c>
    </row>
    <row r="18" spans="1:13" x14ac:dyDescent="0.25">
      <c r="A18" s="5" t="str">
        <f>"6281051005778"</f>
        <v>6281051005778</v>
      </c>
      <c r="B18" s="2" t="s">
        <v>81</v>
      </c>
      <c r="C18" s="2" t="s">
        <v>82</v>
      </c>
      <c r="D18" s="5" t="s">
        <v>15</v>
      </c>
      <c r="E18" s="5" t="s">
        <v>16</v>
      </c>
      <c r="F18" s="5" t="s">
        <v>17</v>
      </c>
      <c r="G18" s="5" t="s">
        <v>18</v>
      </c>
      <c r="H18" s="3" t="s">
        <v>83</v>
      </c>
      <c r="I18" s="3"/>
      <c r="J18" s="3"/>
      <c r="K18" s="5" t="s">
        <v>23</v>
      </c>
      <c r="L18" s="5">
        <v>20.25</v>
      </c>
      <c r="M18" s="2" t="s">
        <v>84</v>
      </c>
    </row>
    <row r="19" spans="1:13" x14ac:dyDescent="0.25">
      <c r="A19" s="5" t="str">
        <f>"3073781190908"</f>
        <v>3073781190908</v>
      </c>
      <c r="B19" s="2" t="s">
        <v>85</v>
      </c>
      <c r="C19" s="2" t="s">
        <v>86</v>
      </c>
      <c r="D19" s="5" t="s">
        <v>15</v>
      </c>
      <c r="E19" s="5" t="s">
        <v>16</v>
      </c>
      <c r="F19" s="5" t="s">
        <v>17</v>
      </c>
      <c r="G19" s="5" t="s">
        <v>18</v>
      </c>
      <c r="H19" s="3" t="s">
        <v>87</v>
      </c>
      <c r="I19" s="3" t="s">
        <v>88</v>
      </c>
      <c r="J19" s="3"/>
      <c r="K19" s="5" t="s">
        <v>23</v>
      </c>
      <c r="L19" s="5">
        <v>46.95</v>
      </c>
      <c r="M19" s="2" t="s">
        <v>89</v>
      </c>
    </row>
    <row r="20" spans="1:13" x14ac:dyDescent="0.25">
      <c r="A20" s="5" t="str">
        <f>"6281022116496"</f>
        <v>6281022116496</v>
      </c>
      <c r="B20" s="2" t="s">
        <v>90</v>
      </c>
      <c r="C20" s="2" t="s">
        <v>91</v>
      </c>
      <c r="D20" s="5" t="s">
        <v>15</v>
      </c>
      <c r="E20" s="5" t="s">
        <v>16</v>
      </c>
      <c r="F20" s="5" t="s">
        <v>17</v>
      </c>
      <c r="G20" s="5" t="s">
        <v>18</v>
      </c>
      <c r="H20" s="3" t="s">
        <v>59</v>
      </c>
      <c r="I20" s="3"/>
      <c r="J20" s="3" t="s">
        <v>92</v>
      </c>
      <c r="K20" s="5" t="s">
        <v>23</v>
      </c>
      <c r="L20" s="5">
        <v>11.95</v>
      </c>
      <c r="M20" s="2" t="s">
        <v>93</v>
      </c>
    </row>
    <row r="21" spans="1:13" x14ac:dyDescent="0.25">
      <c r="A21" s="5" t="str">
        <f>"6281007045360"</f>
        <v>6281007045360</v>
      </c>
      <c r="B21" s="2" t="s">
        <v>94</v>
      </c>
      <c r="C21" s="2" t="s">
        <v>95</v>
      </c>
      <c r="D21" s="5" t="s">
        <v>15</v>
      </c>
      <c r="E21" s="5" t="s">
        <v>16</v>
      </c>
      <c r="F21" s="5" t="s">
        <v>17</v>
      </c>
      <c r="G21" s="5" t="s">
        <v>18</v>
      </c>
      <c r="H21" s="3" t="s">
        <v>32</v>
      </c>
      <c r="I21" s="3" t="s">
        <v>33</v>
      </c>
      <c r="J21" s="3" t="s">
        <v>96</v>
      </c>
      <c r="K21" s="5" t="s">
        <v>23</v>
      </c>
      <c r="L21" s="5">
        <v>51.5</v>
      </c>
      <c r="M21" s="2" t="s">
        <v>97</v>
      </c>
    </row>
    <row r="22" spans="1:13" x14ac:dyDescent="0.25">
      <c r="A22" s="5" t="str">
        <f>"6271002190226"</f>
        <v>6271002190226</v>
      </c>
      <c r="B22" s="2" t="s">
        <v>98</v>
      </c>
      <c r="C22" s="2" t="s">
        <v>99</v>
      </c>
      <c r="D22" s="5" t="s">
        <v>15</v>
      </c>
      <c r="E22" s="5" t="s">
        <v>16</v>
      </c>
      <c r="F22" s="5" t="s">
        <v>17</v>
      </c>
      <c r="G22" s="5" t="s">
        <v>18</v>
      </c>
      <c r="H22" s="3" t="s">
        <v>100</v>
      </c>
      <c r="I22" s="3"/>
      <c r="J22" s="3"/>
      <c r="K22" s="5" t="s">
        <v>23</v>
      </c>
      <c r="L22" s="5">
        <v>30.5</v>
      </c>
      <c r="M22" s="2" t="s">
        <v>101</v>
      </c>
    </row>
    <row r="23" spans="1:13" x14ac:dyDescent="0.25">
      <c r="A23" s="5" t="str">
        <f>"6281057001163"</f>
        <v>6281057001163</v>
      </c>
      <c r="B23" s="2" t="s">
        <v>102</v>
      </c>
      <c r="C23" s="2" t="s">
        <v>103</v>
      </c>
      <c r="D23" s="5" t="s">
        <v>15</v>
      </c>
      <c r="E23" s="5" t="s">
        <v>16</v>
      </c>
      <c r="F23" s="5" t="s">
        <v>17</v>
      </c>
      <c r="G23" s="5" t="s">
        <v>18</v>
      </c>
      <c r="H23" s="3" t="s">
        <v>44</v>
      </c>
      <c r="I23" s="3"/>
      <c r="J23" s="3"/>
      <c r="K23" s="5" t="s">
        <v>23</v>
      </c>
      <c r="L23" s="5">
        <v>12</v>
      </c>
      <c r="M23" s="2" t="s">
        <v>104</v>
      </c>
    </row>
    <row r="24" spans="1:13" x14ac:dyDescent="0.25">
      <c r="A24" s="5" t="str">
        <f>"6281024110201"</f>
        <v>6281024110201</v>
      </c>
      <c r="B24" s="2" t="s">
        <v>105</v>
      </c>
      <c r="C24" s="2" t="s">
        <v>106</v>
      </c>
      <c r="D24" s="5" t="s">
        <v>15</v>
      </c>
      <c r="E24" s="5" t="s">
        <v>16</v>
      </c>
      <c r="F24" s="5" t="s">
        <v>17</v>
      </c>
      <c r="G24" s="5" t="s">
        <v>18</v>
      </c>
      <c r="H24" s="3" t="s">
        <v>107</v>
      </c>
      <c r="I24" s="3" t="s">
        <v>108</v>
      </c>
      <c r="J24" s="3" t="s">
        <v>109</v>
      </c>
      <c r="K24" s="5" t="s">
        <v>23</v>
      </c>
      <c r="L24" s="5">
        <v>18</v>
      </c>
      <c r="M24" s="2" t="s">
        <v>110</v>
      </c>
    </row>
    <row r="25" spans="1:13" x14ac:dyDescent="0.25">
      <c r="A25" s="5" t="str">
        <f>"6281057081066"</f>
        <v>6281057081066</v>
      </c>
      <c r="B25" s="2" t="s">
        <v>111</v>
      </c>
      <c r="C25" s="2" t="s">
        <v>112</v>
      </c>
      <c r="D25" s="5" t="s">
        <v>15</v>
      </c>
      <c r="E25" s="5" t="s">
        <v>16</v>
      </c>
      <c r="F25" s="5" t="s">
        <v>17</v>
      </c>
      <c r="G25" s="5" t="s">
        <v>18</v>
      </c>
      <c r="H25" s="3" t="s">
        <v>44</v>
      </c>
      <c r="I25" s="3"/>
      <c r="J25" s="3" t="s">
        <v>113</v>
      </c>
      <c r="K25" s="5" t="s">
        <v>23</v>
      </c>
      <c r="L25" s="5">
        <v>47.25</v>
      </c>
      <c r="M25" s="2" t="s">
        <v>114</v>
      </c>
    </row>
    <row r="26" spans="1:13" x14ac:dyDescent="0.25">
      <c r="A26" s="5" t="str">
        <f>"6281007031233"</f>
        <v>6281007031233</v>
      </c>
      <c r="B26" s="2" t="s">
        <v>115</v>
      </c>
      <c r="C26" s="2" t="s">
        <v>116</v>
      </c>
      <c r="D26" s="5" t="s">
        <v>15</v>
      </c>
      <c r="E26" s="5" t="s">
        <v>16</v>
      </c>
      <c r="F26" s="5" t="s">
        <v>17</v>
      </c>
      <c r="G26" s="5" t="s">
        <v>18</v>
      </c>
      <c r="H26" s="3" t="s">
        <v>32</v>
      </c>
      <c r="I26" s="3" t="s">
        <v>33</v>
      </c>
      <c r="J26" s="3" t="s">
        <v>28</v>
      </c>
      <c r="K26" s="5" t="s">
        <v>23</v>
      </c>
      <c r="L26" s="5">
        <v>6.25</v>
      </c>
      <c r="M26" s="2" t="s">
        <v>117</v>
      </c>
    </row>
    <row r="27" spans="1:13" x14ac:dyDescent="0.25">
      <c r="A27" s="5" t="str">
        <f>"6281007033206"</f>
        <v>6281007033206</v>
      </c>
      <c r="B27" s="2" t="s">
        <v>118</v>
      </c>
      <c r="C27" s="2" t="s">
        <v>119</v>
      </c>
      <c r="D27" s="5" t="s">
        <v>15</v>
      </c>
      <c r="E27" s="5" t="s">
        <v>16</v>
      </c>
      <c r="F27" s="5" t="s">
        <v>17</v>
      </c>
      <c r="G27" s="5" t="s">
        <v>18</v>
      </c>
      <c r="H27" s="3" t="s">
        <v>32</v>
      </c>
      <c r="I27" s="3"/>
      <c r="J27" s="3"/>
      <c r="K27" s="5" t="s">
        <v>23</v>
      </c>
      <c r="L27" s="5">
        <v>9.9499999999999993</v>
      </c>
      <c r="M27" s="2" t="s">
        <v>120</v>
      </c>
    </row>
    <row r="28" spans="1:13" x14ac:dyDescent="0.25">
      <c r="A28" s="5" t="str">
        <f>"6281057030040"</f>
        <v>6281057030040</v>
      </c>
      <c r="B28" s="2" t="s">
        <v>121</v>
      </c>
      <c r="C28" s="2" t="s">
        <v>122</v>
      </c>
      <c r="D28" s="5" t="s">
        <v>15</v>
      </c>
      <c r="E28" s="5" t="s">
        <v>16</v>
      </c>
      <c r="F28" s="5" t="s">
        <v>17</v>
      </c>
      <c r="G28" s="5" t="s">
        <v>18</v>
      </c>
      <c r="H28" s="3" t="s">
        <v>44</v>
      </c>
      <c r="I28" s="3"/>
      <c r="J28" s="3"/>
      <c r="K28" s="5" t="s">
        <v>23</v>
      </c>
      <c r="L28" s="5">
        <v>14.95</v>
      </c>
      <c r="M28" s="2" t="s">
        <v>123</v>
      </c>
    </row>
    <row r="29" spans="1:13" x14ac:dyDescent="0.25">
      <c r="A29" s="5" t="str">
        <f>"6281024110034"</f>
        <v>6281024110034</v>
      </c>
      <c r="B29" s="2" t="s">
        <v>124</v>
      </c>
      <c r="C29" s="2" t="s">
        <v>125</v>
      </c>
      <c r="D29" s="5" t="s">
        <v>15</v>
      </c>
      <c r="E29" s="5" t="s">
        <v>16</v>
      </c>
      <c r="F29" s="5" t="s">
        <v>17</v>
      </c>
      <c r="G29" s="5" t="s">
        <v>18</v>
      </c>
      <c r="H29" s="3" t="s">
        <v>107</v>
      </c>
      <c r="I29" s="3" t="s">
        <v>108</v>
      </c>
      <c r="J29" s="3" t="s">
        <v>126</v>
      </c>
      <c r="K29" s="5" t="s">
        <v>23</v>
      </c>
      <c r="L29" s="5">
        <v>25.25</v>
      </c>
      <c r="M29" s="2" t="s">
        <v>127</v>
      </c>
    </row>
    <row r="30" spans="1:13" x14ac:dyDescent="0.25">
      <c r="A30" s="5" t="str">
        <f>"6281022126945"</f>
        <v>6281022126945</v>
      </c>
      <c r="B30" s="2" t="s">
        <v>128</v>
      </c>
      <c r="C30" s="2" t="s">
        <v>129</v>
      </c>
      <c r="D30" s="5" t="s">
        <v>15</v>
      </c>
      <c r="E30" s="5" t="s">
        <v>16</v>
      </c>
      <c r="F30" s="5" t="s">
        <v>17</v>
      </c>
      <c r="G30" s="5" t="s">
        <v>18</v>
      </c>
      <c r="H30" s="3" t="s">
        <v>59</v>
      </c>
      <c r="I30" s="3"/>
      <c r="J30" s="3" t="s">
        <v>130</v>
      </c>
      <c r="K30" s="5" t="s">
        <v>23</v>
      </c>
      <c r="L30" s="5">
        <v>4.95</v>
      </c>
      <c r="M30" s="2" t="s">
        <v>131</v>
      </c>
    </row>
    <row r="31" spans="1:13" x14ac:dyDescent="0.25">
      <c r="A31" s="5" t="str">
        <f>"6281018143949"</f>
        <v>6281018143949</v>
      </c>
      <c r="B31" s="2" t="s">
        <v>132</v>
      </c>
      <c r="C31" s="2" t="s">
        <v>133</v>
      </c>
      <c r="D31" s="5" t="s">
        <v>15</v>
      </c>
      <c r="E31" s="5" t="s">
        <v>16</v>
      </c>
      <c r="F31" s="5" t="s">
        <v>17</v>
      </c>
      <c r="G31" s="5" t="s">
        <v>18</v>
      </c>
      <c r="H31" s="3" t="s">
        <v>67</v>
      </c>
      <c r="I31" s="3"/>
      <c r="J31" s="3" t="s">
        <v>134</v>
      </c>
      <c r="K31" s="5" t="s">
        <v>23</v>
      </c>
      <c r="L31" s="5">
        <v>7</v>
      </c>
      <c r="M31" s="2" t="s">
        <v>135</v>
      </c>
    </row>
    <row r="32" spans="1:13" x14ac:dyDescent="0.25">
      <c r="A32" s="5" t="str">
        <f>"6281018146988"</f>
        <v>6281018146988</v>
      </c>
      <c r="B32" s="2" t="s">
        <v>136</v>
      </c>
      <c r="C32" s="2" t="s">
        <v>137</v>
      </c>
      <c r="D32" s="5" t="s">
        <v>15</v>
      </c>
      <c r="E32" s="5" t="s">
        <v>16</v>
      </c>
      <c r="F32" s="5" t="s">
        <v>17</v>
      </c>
      <c r="G32" s="5" t="s">
        <v>18</v>
      </c>
      <c r="H32" s="3" t="s">
        <v>67</v>
      </c>
      <c r="I32" s="3"/>
      <c r="J32" s="3"/>
      <c r="K32" s="5" t="s">
        <v>23</v>
      </c>
      <c r="L32" s="5">
        <v>5.75</v>
      </c>
      <c r="M32" s="2" t="s">
        <v>138</v>
      </c>
    </row>
    <row r="33" spans="1:13" x14ac:dyDescent="0.25">
      <c r="A33" s="5" t="str">
        <f>"8692971031583"</f>
        <v>8692971031583</v>
      </c>
      <c r="B33" s="2" t="s">
        <v>139</v>
      </c>
      <c r="C33" s="2" t="s">
        <v>140</v>
      </c>
      <c r="D33" s="5" t="s">
        <v>15</v>
      </c>
      <c r="E33" s="5" t="s">
        <v>16</v>
      </c>
      <c r="F33" s="5" t="s">
        <v>17</v>
      </c>
      <c r="G33" s="5" t="s">
        <v>18</v>
      </c>
      <c r="H33" s="3" t="s">
        <v>107</v>
      </c>
      <c r="I33" s="3" t="s">
        <v>141</v>
      </c>
      <c r="J33" s="3" t="s">
        <v>142</v>
      </c>
      <c r="K33" s="5" t="s">
        <v>23</v>
      </c>
      <c r="L33" s="5">
        <v>11.75</v>
      </c>
      <c r="M33" s="2" t="s">
        <v>143</v>
      </c>
    </row>
    <row r="34" spans="1:13" x14ac:dyDescent="0.25">
      <c r="A34" s="5" t="str">
        <f>"6281039105537"</f>
        <v>6281039105537</v>
      </c>
      <c r="B34" s="2" t="s">
        <v>144</v>
      </c>
      <c r="C34" s="2" t="s">
        <v>145</v>
      </c>
      <c r="D34" s="5" t="s">
        <v>15</v>
      </c>
      <c r="E34" s="5" t="s">
        <v>16</v>
      </c>
      <c r="F34" s="5" t="s">
        <v>17</v>
      </c>
      <c r="G34" s="5" t="s">
        <v>18</v>
      </c>
      <c r="H34" s="3" t="s">
        <v>146</v>
      </c>
      <c r="I34" s="3"/>
      <c r="J34" s="3"/>
      <c r="K34" s="5" t="s">
        <v>23</v>
      </c>
      <c r="L34" s="5">
        <v>31</v>
      </c>
      <c r="M34" s="2" t="s">
        <v>147</v>
      </c>
    </row>
    <row r="35" spans="1:13" x14ac:dyDescent="0.25">
      <c r="A35" s="5" t="str">
        <f>"2148383000007"</f>
        <v>2148383000007</v>
      </c>
      <c r="B35" s="2" t="s">
        <v>148</v>
      </c>
      <c r="C35" s="2" t="s">
        <v>149</v>
      </c>
      <c r="D35" s="5" t="s">
        <v>15</v>
      </c>
      <c r="E35" s="5" t="s">
        <v>16</v>
      </c>
      <c r="F35" s="5" t="s">
        <v>17</v>
      </c>
      <c r="G35" s="5" t="s">
        <v>18</v>
      </c>
      <c r="H35" s="3"/>
      <c r="I35" s="3"/>
      <c r="J35" s="3"/>
      <c r="K35" s="5" t="s">
        <v>19</v>
      </c>
      <c r="L35" s="5">
        <v>109.95</v>
      </c>
      <c r="M35" s="2" t="s">
        <v>150</v>
      </c>
    </row>
    <row r="36" spans="1:13" x14ac:dyDescent="0.25">
      <c r="A36" s="5" t="str">
        <f>"6281048108390"</f>
        <v>6281048108390</v>
      </c>
      <c r="B36" s="2" t="s">
        <v>151</v>
      </c>
      <c r="C36" s="2" t="s">
        <v>152</v>
      </c>
      <c r="D36" s="5" t="s">
        <v>15</v>
      </c>
      <c r="E36" s="5" t="s">
        <v>16</v>
      </c>
      <c r="F36" s="5" t="s">
        <v>17</v>
      </c>
      <c r="G36" s="5" t="s">
        <v>18</v>
      </c>
      <c r="H36" s="3" t="s">
        <v>27</v>
      </c>
      <c r="I36" s="3" t="s">
        <v>153</v>
      </c>
      <c r="J36" s="3" t="s">
        <v>154</v>
      </c>
      <c r="K36" s="5" t="s">
        <v>23</v>
      </c>
      <c r="L36" s="5">
        <v>23.95</v>
      </c>
      <c r="M36" s="2" t="s">
        <v>155</v>
      </c>
    </row>
    <row r="37" spans="1:13" x14ac:dyDescent="0.25">
      <c r="A37" s="5" t="str">
        <f>"6281007037150"</f>
        <v>6281007037150</v>
      </c>
      <c r="B37" s="2" t="s">
        <v>156</v>
      </c>
      <c r="C37" s="2" t="s">
        <v>157</v>
      </c>
      <c r="D37" s="5" t="s">
        <v>15</v>
      </c>
      <c r="E37" s="5" t="s">
        <v>16</v>
      </c>
      <c r="F37" s="5" t="s">
        <v>17</v>
      </c>
      <c r="G37" s="5" t="s">
        <v>18</v>
      </c>
      <c r="H37" s="3" t="s">
        <v>32</v>
      </c>
      <c r="I37" s="3" t="s">
        <v>33</v>
      </c>
      <c r="J37" s="3" t="s">
        <v>113</v>
      </c>
      <c r="K37" s="5" t="s">
        <v>23</v>
      </c>
      <c r="L37" s="5">
        <v>8</v>
      </c>
      <c r="M37" s="2" t="s">
        <v>158</v>
      </c>
    </row>
    <row r="38" spans="1:13" x14ac:dyDescent="0.25">
      <c r="A38" s="5" t="str">
        <f>"6281007052016"</f>
        <v>6281007052016</v>
      </c>
      <c r="B38" s="2" t="s">
        <v>159</v>
      </c>
      <c r="C38" s="2" t="s">
        <v>160</v>
      </c>
      <c r="D38" s="5" t="s">
        <v>15</v>
      </c>
      <c r="E38" s="5" t="s">
        <v>16</v>
      </c>
      <c r="F38" s="5" t="s">
        <v>17</v>
      </c>
      <c r="G38" s="5" t="s">
        <v>18</v>
      </c>
      <c r="H38" s="3" t="s">
        <v>32</v>
      </c>
      <c r="I38" s="3"/>
      <c r="J38" s="3" t="s">
        <v>161</v>
      </c>
      <c r="K38" s="5" t="s">
        <v>23</v>
      </c>
      <c r="L38" s="5">
        <v>67</v>
      </c>
      <c r="M38" s="2" t="s">
        <v>162</v>
      </c>
    </row>
    <row r="39" spans="1:13" x14ac:dyDescent="0.25">
      <c r="A39" s="5" t="str">
        <f>"3245412730870"</f>
        <v>3245412730870</v>
      </c>
      <c r="B39" s="2" t="s">
        <v>163</v>
      </c>
      <c r="C39" s="2" t="s">
        <v>164</v>
      </c>
      <c r="D39" s="5" t="s">
        <v>15</v>
      </c>
      <c r="E39" s="5" t="s">
        <v>16</v>
      </c>
      <c r="F39" s="5" t="s">
        <v>17</v>
      </c>
      <c r="G39" s="5" t="s">
        <v>18</v>
      </c>
      <c r="H39" s="3" t="s">
        <v>165</v>
      </c>
      <c r="I39" s="3" t="s">
        <v>108</v>
      </c>
      <c r="J39" s="3" t="s">
        <v>166</v>
      </c>
      <c r="K39" s="5" t="s">
        <v>23</v>
      </c>
      <c r="L39" s="5">
        <v>18.95</v>
      </c>
      <c r="M39" s="2" t="s">
        <v>167</v>
      </c>
    </row>
    <row r="40" spans="1:13" x14ac:dyDescent="0.25">
      <c r="A40" s="5" t="str">
        <f>"6281057001118"</f>
        <v>6281057001118</v>
      </c>
      <c r="B40" s="2" t="s">
        <v>168</v>
      </c>
      <c r="C40" s="2" t="s">
        <v>169</v>
      </c>
      <c r="D40" s="5" t="s">
        <v>15</v>
      </c>
      <c r="E40" s="5" t="s">
        <v>16</v>
      </c>
      <c r="F40" s="5" t="s">
        <v>17</v>
      </c>
      <c r="G40" s="5" t="s">
        <v>18</v>
      </c>
      <c r="H40" s="3" t="s">
        <v>44</v>
      </c>
      <c r="I40" s="3"/>
      <c r="J40" s="3"/>
      <c r="K40" s="5" t="s">
        <v>23</v>
      </c>
      <c r="L40" s="5">
        <v>2</v>
      </c>
      <c r="M40" s="2" t="s">
        <v>170</v>
      </c>
    </row>
    <row r="41" spans="1:13" x14ac:dyDescent="0.25">
      <c r="A41" s="5" t="str">
        <f>"5740900403550"</f>
        <v>5740900403550</v>
      </c>
      <c r="B41" s="2" t="s">
        <v>171</v>
      </c>
      <c r="C41" s="2" t="s">
        <v>172</v>
      </c>
      <c r="D41" s="5" t="s">
        <v>15</v>
      </c>
      <c r="E41" s="5" t="s">
        <v>16</v>
      </c>
      <c r="F41" s="5" t="s">
        <v>17</v>
      </c>
      <c r="G41" s="5" t="s">
        <v>18</v>
      </c>
      <c r="H41" s="3" t="s">
        <v>173</v>
      </c>
      <c r="I41" s="3" t="s">
        <v>174</v>
      </c>
      <c r="J41" s="3" t="s">
        <v>109</v>
      </c>
      <c r="K41" s="5" t="s">
        <v>23</v>
      </c>
      <c r="L41" s="5">
        <v>26.95</v>
      </c>
      <c r="M41" s="2" t="s">
        <v>175</v>
      </c>
    </row>
    <row r="42" spans="1:13" x14ac:dyDescent="0.25">
      <c r="A42" s="5" t="str">
        <f>"6281007032704"</f>
        <v>6281007032704</v>
      </c>
      <c r="B42" s="2" t="s">
        <v>176</v>
      </c>
      <c r="C42" s="2" t="s">
        <v>177</v>
      </c>
      <c r="D42" s="5" t="s">
        <v>15</v>
      </c>
      <c r="E42" s="5" t="s">
        <v>16</v>
      </c>
      <c r="F42" s="5" t="s">
        <v>17</v>
      </c>
      <c r="G42" s="5" t="s">
        <v>18</v>
      </c>
      <c r="H42" s="3" t="s">
        <v>32</v>
      </c>
      <c r="I42" s="3"/>
      <c r="J42" s="3"/>
      <c r="K42" s="5" t="s">
        <v>23</v>
      </c>
      <c r="L42" s="5">
        <v>33</v>
      </c>
      <c r="M42" s="2" t="s">
        <v>178</v>
      </c>
    </row>
    <row r="43" spans="1:13" x14ac:dyDescent="0.25">
      <c r="A43" s="5" t="str">
        <f>"2144427000002"</f>
        <v>2144427000002</v>
      </c>
      <c r="B43" s="2" t="s">
        <v>179</v>
      </c>
      <c r="C43" s="2" t="s">
        <v>180</v>
      </c>
      <c r="D43" s="5" t="s">
        <v>15</v>
      </c>
      <c r="E43" s="5" t="s">
        <v>16</v>
      </c>
      <c r="F43" s="5" t="s">
        <v>17</v>
      </c>
      <c r="G43" s="5" t="s">
        <v>18</v>
      </c>
      <c r="H43" s="3"/>
      <c r="I43" s="3"/>
      <c r="J43" s="3"/>
      <c r="K43" s="5" t="s">
        <v>19</v>
      </c>
      <c r="L43" s="5">
        <v>42.95</v>
      </c>
      <c r="M43" s="2" t="s">
        <v>181</v>
      </c>
    </row>
    <row r="44" spans="1:13" x14ac:dyDescent="0.25">
      <c r="A44" s="5" t="str">
        <f>"6281022135190"</f>
        <v>6281022135190</v>
      </c>
      <c r="B44" s="2" t="s">
        <v>182</v>
      </c>
      <c r="C44" s="2" t="s">
        <v>183</v>
      </c>
      <c r="D44" s="5" t="s">
        <v>15</v>
      </c>
      <c r="E44" s="5" t="s">
        <v>16</v>
      </c>
      <c r="F44" s="5" t="s">
        <v>17</v>
      </c>
      <c r="G44" s="5" t="s">
        <v>18</v>
      </c>
      <c r="H44" s="3" t="s">
        <v>184</v>
      </c>
      <c r="I44" s="3"/>
      <c r="J44" s="3" t="s">
        <v>185</v>
      </c>
      <c r="K44" s="5" t="s">
        <v>23</v>
      </c>
      <c r="L44" s="5">
        <v>23.25</v>
      </c>
      <c r="M44" s="2" t="s">
        <v>186</v>
      </c>
    </row>
    <row r="45" spans="1:13" x14ac:dyDescent="0.25">
      <c r="A45" s="5" t="str">
        <f>"6281007040716"</f>
        <v>6281007040716</v>
      </c>
      <c r="B45" s="2" t="s">
        <v>187</v>
      </c>
      <c r="C45" s="2" t="s">
        <v>188</v>
      </c>
      <c r="D45" s="5" t="s">
        <v>15</v>
      </c>
      <c r="E45" s="5" t="s">
        <v>16</v>
      </c>
      <c r="F45" s="5" t="s">
        <v>17</v>
      </c>
      <c r="G45" s="5" t="s">
        <v>18</v>
      </c>
      <c r="H45" s="3" t="s">
        <v>32</v>
      </c>
      <c r="I45" s="3" t="s">
        <v>33</v>
      </c>
      <c r="J45" s="3" t="s">
        <v>189</v>
      </c>
      <c r="K45" s="5" t="s">
        <v>23</v>
      </c>
      <c r="L45" s="5">
        <v>2</v>
      </c>
      <c r="M45" s="2" t="s">
        <v>190</v>
      </c>
    </row>
    <row r="46" spans="1:13" x14ac:dyDescent="0.25">
      <c r="A46" s="5" t="str">
        <f>"6281007037358"</f>
        <v>6281007037358</v>
      </c>
      <c r="B46" s="2" t="s">
        <v>191</v>
      </c>
      <c r="C46" s="2" t="s">
        <v>192</v>
      </c>
      <c r="D46" s="5" t="s">
        <v>15</v>
      </c>
      <c r="E46" s="5" t="s">
        <v>16</v>
      </c>
      <c r="F46" s="5" t="s">
        <v>17</v>
      </c>
      <c r="G46" s="5" t="s">
        <v>18</v>
      </c>
      <c r="H46" s="3" t="s">
        <v>32</v>
      </c>
      <c r="I46" s="3"/>
      <c r="J46" s="3"/>
      <c r="K46" s="5" t="s">
        <v>23</v>
      </c>
      <c r="L46" s="5">
        <v>23.95</v>
      </c>
      <c r="M46" s="2" t="s">
        <v>193</v>
      </c>
    </row>
    <row r="47" spans="1:13" x14ac:dyDescent="0.25">
      <c r="A47" s="5" t="str">
        <f>"6281007042178"</f>
        <v>6281007042178</v>
      </c>
      <c r="B47" s="2" t="s">
        <v>194</v>
      </c>
      <c r="C47" s="2" t="s">
        <v>195</v>
      </c>
      <c r="D47" s="5" t="s">
        <v>15</v>
      </c>
      <c r="E47" s="5" t="s">
        <v>16</v>
      </c>
      <c r="F47" s="5" t="s">
        <v>17</v>
      </c>
      <c r="G47" s="5" t="s">
        <v>18</v>
      </c>
      <c r="H47" s="3" t="s">
        <v>32</v>
      </c>
      <c r="I47" s="3"/>
      <c r="J47" s="3"/>
      <c r="K47" s="5" t="s">
        <v>23</v>
      </c>
      <c r="L47" s="5">
        <v>9.9499999999999993</v>
      </c>
      <c r="M47" s="2" t="s">
        <v>196</v>
      </c>
    </row>
    <row r="48" spans="1:13" x14ac:dyDescent="0.25">
      <c r="A48" s="5" t="str">
        <f>"6281039105131"</f>
        <v>6281039105131</v>
      </c>
      <c r="B48" s="2" t="s">
        <v>197</v>
      </c>
      <c r="C48" s="2" t="s">
        <v>198</v>
      </c>
      <c r="D48" s="5" t="s">
        <v>15</v>
      </c>
      <c r="E48" s="5" t="s">
        <v>16</v>
      </c>
      <c r="F48" s="5" t="s">
        <v>17</v>
      </c>
      <c r="G48" s="5" t="s">
        <v>18</v>
      </c>
      <c r="H48" s="3" t="s">
        <v>146</v>
      </c>
      <c r="I48" s="3"/>
      <c r="J48" s="3"/>
      <c r="K48" s="5" t="s">
        <v>23</v>
      </c>
      <c r="L48" s="5">
        <v>49.5</v>
      </c>
      <c r="M48" s="2" t="s">
        <v>199</v>
      </c>
    </row>
    <row r="49" spans="1:13" x14ac:dyDescent="0.25">
      <c r="A49" s="5" t="str">
        <f>"6281057007165"</f>
        <v>6281057007165</v>
      </c>
      <c r="B49" s="2" t="s">
        <v>200</v>
      </c>
      <c r="C49" s="2" t="s">
        <v>201</v>
      </c>
      <c r="D49" s="5" t="s">
        <v>15</v>
      </c>
      <c r="E49" s="5" t="s">
        <v>16</v>
      </c>
      <c r="F49" s="5" t="s">
        <v>17</v>
      </c>
      <c r="G49" s="5" t="s">
        <v>18</v>
      </c>
      <c r="H49" s="3" t="s">
        <v>44</v>
      </c>
      <c r="I49" s="3"/>
      <c r="J49" s="3" t="s">
        <v>202</v>
      </c>
      <c r="K49" s="5" t="s">
        <v>23</v>
      </c>
      <c r="L49" s="5">
        <v>48.95</v>
      </c>
      <c r="M49" s="2" t="s">
        <v>203</v>
      </c>
    </row>
    <row r="50" spans="1:13" x14ac:dyDescent="0.25">
      <c r="A50" s="5" t="str">
        <f>"6084012090390"</f>
        <v>6084012090390</v>
      </c>
      <c r="B50" s="2" t="s">
        <v>204</v>
      </c>
      <c r="C50" s="2" t="s">
        <v>205</v>
      </c>
      <c r="D50" s="5" t="s">
        <v>15</v>
      </c>
      <c r="E50" s="5" t="s">
        <v>16</v>
      </c>
      <c r="F50" s="5" t="s">
        <v>17</v>
      </c>
      <c r="G50" s="5" t="s">
        <v>18</v>
      </c>
      <c r="H50" s="3" t="s">
        <v>206</v>
      </c>
      <c r="I50" s="3"/>
      <c r="J50" s="3"/>
      <c r="K50" s="5" t="s">
        <v>23</v>
      </c>
      <c r="L50" s="5">
        <v>66.5</v>
      </c>
      <c r="M50" s="2" t="s">
        <v>207</v>
      </c>
    </row>
    <row r="51" spans="1:13" x14ac:dyDescent="0.25">
      <c r="A51" s="5" t="str">
        <f>"3073781147087"</f>
        <v>3073781147087</v>
      </c>
      <c r="B51" s="2" t="s">
        <v>208</v>
      </c>
      <c r="C51" s="2" t="s">
        <v>209</v>
      </c>
      <c r="D51" s="5" t="s">
        <v>15</v>
      </c>
      <c r="E51" s="5" t="s">
        <v>16</v>
      </c>
      <c r="F51" s="5" t="s">
        <v>17</v>
      </c>
      <c r="G51" s="5" t="s">
        <v>18</v>
      </c>
      <c r="H51" s="3" t="s">
        <v>87</v>
      </c>
      <c r="I51" s="3"/>
      <c r="J51" s="3"/>
      <c r="K51" s="5" t="s">
        <v>23</v>
      </c>
      <c r="L51" s="5">
        <v>22.95</v>
      </c>
      <c r="M51" s="2" t="s">
        <v>210</v>
      </c>
    </row>
    <row r="52" spans="1:13" x14ac:dyDescent="0.25">
      <c r="A52" s="5" t="str">
        <f>"2144139000000"</f>
        <v>2144139000000</v>
      </c>
      <c r="B52" s="2" t="s">
        <v>211</v>
      </c>
      <c r="C52" s="2" t="s">
        <v>212</v>
      </c>
      <c r="D52" s="5" t="s">
        <v>15</v>
      </c>
      <c r="E52" s="5" t="s">
        <v>16</v>
      </c>
      <c r="F52" s="5" t="s">
        <v>17</v>
      </c>
      <c r="G52" s="5" t="s">
        <v>18</v>
      </c>
      <c r="H52" s="3"/>
      <c r="I52" s="3"/>
      <c r="J52" s="3"/>
      <c r="K52" s="5" t="s">
        <v>19</v>
      </c>
      <c r="L52" s="5">
        <v>21.95</v>
      </c>
      <c r="M52" s="2" t="s">
        <v>213</v>
      </c>
    </row>
    <row r="53" spans="1:13" x14ac:dyDescent="0.25">
      <c r="A53" s="5" t="str">
        <f>"6281022135282"</f>
        <v>6281022135282</v>
      </c>
      <c r="B53" s="2" t="s">
        <v>214</v>
      </c>
      <c r="C53" s="2" t="s">
        <v>215</v>
      </c>
      <c r="D53" s="5" t="s">
        <v>15</v>
      </c>
      <c r="E53" s="5" t="s">
        <v>16</v>
      </c>
      <c r="F53" s="5" t="s">
        <v>17</v>
      </c>
      <c r="G53" s="5" t="s">
        <v>18</v>
      </c>
      <c r="H53" s="3" t="s">
        <v>184</v>
      </c>
      <c r="I53" s="3"/>
      <c r="J53" s="3" t="s">
        <v>109</v>
      </c>
      <c r="K53" s="5" t="s">
        <v>23</v>
      </c>
      <c r="L53" s="5">
        <v>13.25</v>
      </c>
      <c r="M53" s="2" t="s">
        <v>216</v>
      </c>
    </row>
    <row r="54" spans="1:13" x14ac:dyDescent="0.25">
      <c r="A54" s="5" t="str">
        <f>"5740900864405"</f>
        <v>5740900864405</v>
      </c>
      <c r="B54" s="2" t="s">
        <v>217</v>
      </c>
      <c r="C54" s="2" t="s">
        <v>218</v>
      </c>
      <c r="D54" s="5" t="s">
        <v>15</v>
      </c>
      <c r="E54" s="5" t="s">
        <v>16</v>
      </c>
      <c r="F54" s="5" t="s">
        <v>17</v>
      </c>
      <c r="G54" s="5" t="s">
        <v>18</v>
      </c>
      <c r="H54" s="3" t="s">
        <v>173</v>
      </c>
      <c r="I54" s="3" t="s">
        <v>174</v>
      </c>
      <c r="J54" s="3" t="s">
        <v>109</v>
      </c>
      <c r="K54" s="5" t="s">
        <v>23</v>
      </c>
      <c r="L54" s="5">
        <v>29.5</v>
      </c>
      <c r="M54" s="2" t="s">
        <v>219</v>
      </c>
    </row>
    <row r="55" spans="1:13" x14ac:dyDescent="0.25">
      <c r="A55" s="5" t="str">
        <f>"6281106110488"</f>
        <v>6281106110488</v>
      </c>
      <c r="B55" s="2" t="s">
        <v>220</v>
      </c>
      <c r="C55" s="2" t="s">
        <v>221</v>
      </c>
      <c r="D55" s="5" t="s">
        <v>15</v>
      </c>
      <c r="E55" s="5" t="s">
        <v>16</v>
      </c>
      <c r="F55" s="5" t="s">
        <v>17</v>
      </c>
      <c r="G55" s="5" t="s">
        <v>18</v>
      </c>
      <c r="H55" s="3" t="s">
        <v>222</v>
      </c>
      <c r="I55" s="3"/>
      <c r="J55" s="3"/>
      <c r="K55" s="5" t="s">
        <v>23</v>
      </c>
      <c r="L55" s="5">
        <v>10.5</v>
      </c>
      <c r="M55" s="2" t="s">
        <v>223</v>
      </c>
    </row>
    <row r="56" spans="1:13" x14ac:dyDescent="0.25">
      <c r="A56" s="5" t="str">
        <f>"8692041000709"</f>
        <v>8692041000709</v>
      </c>
      <c r="B56" s="2" t="s">
        <v>224</v>
      </c>
      <c r="C56" s="2" t="s">
        <v>225</v>
      </c>
      <c r="D56" s="5" t="s">
        <v>15</v>
      </c>
      <c r="E56" s="5" t="s">
        <v>16</v>
      </c>
      <c r="F56" s="5" t="s">
        <v>17</v>
      </c>
      <c r="G56" s="5" t="s">
        <v>18</v>
      </c>
      <c r="H56" s="3" t="s">
        <v>226</v>
      </c>
      <c r="I56" s="3"/>
      <c r="J56" s="3"/>
      <c r="K56" s="5" t="s">
        <v>23</v>
      </c>
      <c r="L56" s="5">
        <v>18</v>
      </c>
      <c r="M56" s="2" t="s">
        <v>227</v>
      </c>
    </row>
    <row r="57" spans="1:13" x14ac:dyDescent="0.25">
      <c r="A57" s="5" t="str">
        <f>"5411188110835"</f>
        <v>5411188110835</v>
      </c>
      <c r="B57" s="2" t="s">
        <v>228</v>
      </c>
      <c r="C57" s="2" t="s">
        <v>229</v>
      </c>
      <c r="D57" s="5" t="s">
        <v>15</v>
      </c>
      <c r="E57" s="5" t="s">
        <v>16</v>
      </c>
      <c r="F57" s="5" t="s">
        <v>17</v>
      </c>
      <c r="G57" s="5" t="s">
        <v>18</v>
      </c>
      <c r="H57" s="3" t="s">
        <v>230</v>
      </c>
      <c r="I57" s="3"/>
      <c r="J57" s="3"/>
      <c r="K57" s="5" t="s">
        <v>23</v>
      </c>
      <c r="L57" s="5">
        <v>27</v>
      </c>
      <c r="M57" s="2" t="s">
        <v>231</v>
      </c>
    </row>
    <row r="58" spans="1:13" x14ac:dyDescent="0.25">
      <c r="A58" s="5" t="str">
        <f>"3073781194753"</f>
        <v>3073781194753</v>
      </c>
      <c r="B58" s="2" t="s">
        <v>232</v>
      </c>
      <c r="C58" s="2" t="s">
        <v>233</v>
      </c>
      <c r="D58" s="5" t="s">
        <v>15</v>
      </c>
      <c r="E58" s="5" t="s">
        <v>16</v>
      </c>
      <c r="F58" s="5" t="s">
        <v>17</v>
      </c>
      <c r="G58" s="5" t="s">
        <v>18</v>
      </c>
      <c r="H58" s="3" t="s">
        <v>87</v>
      </c>
      <c r="I58" s="3"/>
      <c r="J58" s="3" t="s">
        <v>234</v>
      </c>
      <c r="K58" s="5" t="s">
        <v>23</v>
      </c>
      <c r="L58" s="5">
        <v>38.950000000000003</v>
      </c>
      <c r="M58" s="2" t="s">
        <v>235</v>
      </c>
    </row>
    <row r="59" spans="1:13" x14ac:dyDescent="0.25">
      <c r="A59" s="5" t="str">
        <f>"6281007032261"</f>
        <v>6281007032261</v>
      </c>
      <c r="B59" s="2" t="s">
        <v>236</v>
      </c>
      <c r="C59" s="2" t="s">
        <v>237</v>
      </c>
      <c r="D59" s="5" t="s">
        <v>15</v>
      </c>
      <c r="E59" s="5" t="s">
        <v>16</v>
      </c>
      <c r="F59" s="5" t="s">
        <v>17</v>
      </c>
      <c r="G59" s="5" t="s">
        <v>18</v>
      </c>
      <c r="H59" s="3" t="s">
        <v>32</v>
      </c>
      <c r="I59" s="3" t="s">
        <v>33</v>
      </c>
      <c r="J59" s="3" t="s">
        <v>238</v>
      </c>
      <c r="K59" s="5" t="s">
        <v>23</v>
      </c>
      <c r="L59" s="5">
        <v>7</v>
      </c>
      <c r="M59" s="2" t="s">
        <v>239</v>
      </c>
    </row>
    <row r="60" spans="1:13" x14ac:dyDescent="0.25">
      <c r="A60" s="5" t="str">
        <f>"6281007031264"</f>
        <v>6281007031264</v>
      </c>
      <c r="B60" s="2" t="s">
        <v>240</v>
      </c>
      <c r="C60" s="2" t="s">
        <v>241</v>
      </c>
      <c r="D60" s="5" t="s">
        <v>15</v>
      </c>
      <c r="E60" s="5" t="s">
        <v>16</v>
      </c>
      <c r="F60" s="5" t="s">
        <v>17</v>
      </c>
      <c r="G60" s="5" t="s">
        <v>18</v>
      </c>
      <c r="H60" s="3" t="s">
        <v>32</v>
      </c>
      <c r="I60" s="3" t="s">
        <v>33</v>
      </c>
      <c r="J60" s="3" t="s">
        <v>109</v>
      </c>
      <c r="K60" s="5" t="s">
        <v>23</v>
      </c>
      <c r="L60" s="5">
        <v>13.25</v>
      </c>
      <c r="M60" s="2" t="s">
        <v>242</v>
      </c>
    </row>
    <row r="61" spans="1:13" x14ac:dyDescent="0.25">
      <c r="A61" s="5" t="str">
        <f>"6084012090536"</f>
        <v>6084012090536</v>
      </c>
      <c r="B61" s="2" t="s">
        <v>243</v>
      </c>
      <c r="C61" s="2" t="s">
        <v>244</v>
      </c>
      <c r="D61" s="5" t="s">
        <v>15</v>
      </c>
      <c r="E61" s="5" t="s">
        <v>16</v>
      </c>
      <c r="F61" s="5" t="s">
        <v>17</v>
      </c>
      <c r="G61" s="5" t="s">
        <v>18</v>
      </c>
      <c r="H61" s="3" t="s">
        <v>206</v>
      </c>
      <c r="I61" s="3"/>
      <c r="J61" s="3"/>
      <c r="K61" s="5" t="s">
        <v>23</v>
      </c>
      <c r="L61" s="5">
        <v>38.950000000000003</v>
      </c>
      <c r="M61" s="2" t="s">
        <v>245</v>
      </c>
    </row>
    <row r="62" spans="1:13" x14ac:dyDescent="0.25">
      <c r="A62" s="5" t="str">
        <f>"6281048109335"</f>
        <v>6281048109335</v>
      </c>
      <c r="B62" s="2" t="s">
        <v>246</v>
      </c>
      <c r="C62" s="2" t="s">
        <v>247</v>
      </c>
      <c r="D62" s="5" t="s">
        <v>15</v>
      </c>
      <c r="E62" s="5" t="s">
        <v>16</v>
      </c>
      <c r="F62" s="5" t="s">
        <v>17</v>
      </c>
      <c r="G62" s="5" t="s">
        <v>18</v>
      </c>
      <c r="H62" s="3" t="s">
        <v>27</v>
      </c>
      <c r="I62" s="3"/>
      <c r="J62" s="3"/>
      <c r="K62" s="5" t="s">
        <v>23</v>
      </c>
      <c r="L62" s="5">
        <v>40.75</v>
      </c>
      <c r="M62" s="2" t="s">
        <v>248</v>
      </c>
    </row>
    <row r="63" spans="1:13" x14ac:dyDescent="0.25">
      <c r="A63" s="5" t="str">
        <f>"2140306000002"</f>
        <v>2140306000002</v>
      </c>
      <c r="B63" s="2" t="s">
        <v>249</v>
      </c>
      <c r="C63" s="2" t="s">
        <v>250</v>
      </c>
      <c r="D63" s="5" t="s">
        <v>15</v>
      </c>
      <c r="E63" s="5" t="s">
        <v>16</v>
      </c>
      <c r="F63" s="5" t="s">
        <v>17</v>
      </c>
      <c r="G63" s="5" t="s">
        <v>18</v>
      </c>
      <c r="H63" s="3"/>
      <c r="I63" s="3"/>
      <c r="J63" s="3"/>
      <c r="K63" s="5" t="s">
        <v>19</v>
      </c>
      <c r="L63" s="5">
        <v>54.95</v>
      </c>
      <c r="M63" s="2" t="s">
        <v>251</v>
      </c>
    </row>
    <row r="64" spans="1:13" x14ac:dyDescent="0.25">
      <c r="A64" s="5" t="str">
        <f>"6281024116166"</f>
        <v>6281024116166</v>
      </c>
      <c r="B64" s="2" t="s">
        <v>252</v>
      </c>
      <c r="C64" s="2" t="s">
        <v>253</v>
      </c>
      <c r="D64" s="5" t="s">
        <v>15</v>
      </c>
      <c r="E64" s="5" t="s">
        <v>16</v>
      </c>
      <c r="F64" s="5" t="s">
        <v>17</v>
      </c>
      <c r="G64" s="5" t="s">
        <v>18</v>
      </c>
      <c r="H64" s="3" t="s">
        <v>107</v>
      </c>
      <c r="I64" s="3"/>
      <c r="J64" s="3"/>
      <c r="K64" s="5" t="s">
        <v>23</v>
      </c>
      <c r="L64" s="5">
        <v>35.5</v>
      </c>
      <c r="M64" s="2" t="s">
        <v>254</v>
      </c>
    </row>
    <row r="65" spans="1:13" x14ac:dyDescent="0.25">
      <c r="A65" s="5" t="str">
        <f>"3560070046478"</f>
        <v>3560070046478</v>
      </c>
      <c r="B65" s="2" t="s">
        <v>255</v>
      </c>
      <c r="C65" s="2" t="s">
        <v>256</v>
      </c>
      <c r="D65" s="5" t="s">
        <v>15</v>
      </c>
      <c r="E65" s="5" t="s">
        <v>16</v>
      </c>
      <c r="F65" s="5" t="s">
        <v>17</v>
      </c>
      <c r="G65" s="5" t="s">
        <v>18</v>
      </c>
      <c r="H65" s="3" t="s">
        <v>165</v>
      </c>
      <c r="I65" s="3" t="s">
        <v>108</v>
      </c>
      <c r="J65" s="3" t="s">
        <v>28</v>
      </c>
      <c r="K65" s="5" t="s">
        <v>23</v>
      </c>
      <c r="L65" s="5">
        <v>30.95</v>
      </c>
      <c r="M65" s="2" t="s">
        <v>257</v>
      </c>
    </row>
    <row r="66" spans="1:13" x14ac:dyDescent="0.25">
      <c r="A66" s="5" t="str">
        <f>"6281007033053"</f>
        <v>6281007033053</v>
      </c>
      <c r="B66" s="2" t="s">
        <v>258</v>
      </c>
      <c r="C66" s="2" t="s">
        <v>259</v>
      </c>
      <c r="D66" s="5" t="s">
        <v>15</v>
      </c>
      <c r="E66" s="5" t="s">
        <v>16</v>
      </c>
      <c r="F66" s="5" t="s">
        <v>17</v>
      </c>
      <c r="G66" s="5" t="s">
        <v>18</v>
      </c>
      <c r="H66" s="3" t="s">
        <v>32</v>
      </c>
      <c r="I66" s="3" t="s">
        <v>33</v>
      </c>
      <c r="J66" s="3"/>
      <c r="K66" s="5" t="s">
        <v>23</v>
      </c>
      <c r="L66" s="5">
        <v>18.5</v>
      </c>
      <c r="M66" s="2" t="s">
        <v>260</v>
      </c>
    </row>
    <row r="67" spans="1:13" x14ac:dyDescent="0.25">
      <c r="A67" s="5" t="str">
        <f>"6287004520404"</f>
        <v>6287004520404</v>
      </c>
      <c r="B67" s="2" t="s">
        <v>261</v>
      </c>
      <c r="C67" s="2" t="s">
        <v>262</v>
      </c>
      <c r="D67" s="5" t="s">
        <v>15</v>
      </c>
      <c r="E67" s="5" t="s">
        <v>16</v>
      </c>
      <c r="F67" s="5" t="s">
        <v>17</v>
      </c>
      <c r="G67" s="5" t="s">
        <v>18</v>
      </c>
      <c r="H67" s="3" t="s">
        <v>48</v>
      </c>
      <c r="I67" s="3"/>
      <c r="J67" s="3"/>
      <c r="K67" s="5" t="s">
        <v>23</v>
      </c>
      <c r="L67" s="5">
        <v>24.75</v>
      </c>
      <c r="M67" s="2" t="s">
        <v>263</v>
      </c>
    </row>
    <row r="68" spans="1:13" x14ac:dyDescent="0.25">
      <c r="A68" s="5" t="str">
        <f>"5740900403543"</f>
        <v>5740900403543</v>
      </c>
      <c r="B68" s="2" t="s">
        <v>264</v>
      </c>
      <c r="C68" s="2" t="s">
        <v>265</v>
      </c>
      <c r="D68" s="5" t="s">
        <v>15</v>
      </c>
      <c r="E68" s="5" t="s">
        <v>16</v>
      </c>
      <c r="F68" s="5" t="s">
        <v>17</v>
      </c>
      <c r="G68" s="5" t="s">
        <v>18</v>
      </c>
      <c r="H68" s="3" t="s">
        <v>173</v>
      </c>
      <c r="I68" s="3" t="s">
        <v>174</v>
      </c>
      <c r="J68" s="3" t="s">
        <v>28</v>
      </c>
      <c r="K68" s="5" t="s">
        <v>23</v>
      </c>
      <c r="L68" s="5">
        <v>15.95</v>
      </c>
      <c r="M68" s="2" t="s">
        <v>266</v>
      </c>
    </row>
    <row r="69" spans="1:13" x14ac:dyDescent="0.25">
      <c r="A69" s="5" t="str">
        <f>"3228021060460"</f>
        <v>3228021060460</v>
      </c>
      <c r="B69" s="2" t="s">
        <v>267</v>
      </c>
      <c r="C69" s="2" t="s">
        <v>268</v>
      </c>
      <c r="D69" s="5" t="s">
        <v>15</v>
      </c>
      <c r="E69" s="5" t="s">
        <v>16</v>
      </c>
      <c r="F69" s="5" t="s">
        <v>17</v>
      </c>
      <c r="G69" s="5" t="s">
        <v>18</v>
      </c>
      <c r="H69" s="3" t="s">
        <v>107</v>
      </c>
      <c r="I69" s="3"/>
      <c r="J69" s="3"/>
      <c r="K69" s="5" t="s">
        <v>23</v>
      </c>
      <c r="L69" s="5">
        <v>16.75</v>
      </c>
      <c r="M69" s="2" t="s">
        <v>269</v>
      </c>
    </row>
    <row r="70" spans="1:13" x14ac:dyDescent="0.25">
      <c r="A70" s="5" t="str">
        <f>"2140532000005"</f>
        <v>2140532000005</v>
      </c>
      <c r="B70" s="2" t="s">
        <v>270</v>
      </c>
      <c r="C70" s="2" t="s">
        <v>271</v>
      </c>
      <c r="D70" s="5" t="s">
        <v>15</v>
      </c>
      <c r="E70" s="5" t="s">
        <v>16</v>
      </c>
      <c r="F70" s="5" t="s">
        <v>17</v>
      </c>
      <c r="G70" s="5" t="s">
        <v>18</v>
      </c>
      <c r="H70" s="3"/>
      <c r="I70" s="3"/>
      <c r="J70" s="3"/>
      <c r="K70" s="5" t="s">
        <v>19</v>
      </c>
      <c r="L70" s="5">
        <v>82.95</v>
      </c>
      <c r="M70" s="2" t="s">
        <v>272</v>
      </c>
    </row>
    <row r="71" spans="1:13" x14ac:dyDescent="0.25">
      <c r="A71" s="5" t="str">
        <f>"2140318000007"</f>
        <v>2140318000007</v>
      </c>
      <c r="B71" s="2" t="s">
        <v>273</v>
      </c>
      <c r="C71" s="2" t="s">
        <v>274</v>
      </c>
      <c r="D71" s="5" t="s">
        <v>15</v>
      </c>
      <c r="E71" s="5" t="s">
        <v>16</v>
      </c>
      <c r="F71" s="5" t="s">
        <v>17</v>
      </c>
      <c r="G71" s="5" t="s">
        <v>18</v>
      </c>
      <c r="H71" s="3"/>
      <c r="I71" s="3"/>
      <c r="J71" s="3"/>
      <c r="K71" s="5" t="s">
        <v>19</v>
      </c>
      <c r="L71" s="5">
        <v>19.95</v>
      </c>
      <c r="M71" s="2" t="s">
        <v>275</v>
      </c>
    </row>
    <row r="72" spans="1:13" x14ac:dyDescent="0.25">
      <c r="A72" s="5" t="str">
        <f>"6281057006113"</f>
        <v>6281057006113</v>
      </c>
      <c r="B72" s="2" t="s">
        <v>276</v>
      </c>
      <c r="C72" s="2" t="s">
        <v>277</v>
      </c>
      <c r="D72" s="5" t="s">
        <v>15</v>
      </c>
      <c r="E72" s="5" t="s">
        <v>16</v>
      </c>
      <c r="F72" s="5" t="s">
        <v>17</v>
      </c>
      <c r="G72" s="5" t="s">
        <v>18</v>
      </c>
      <c r="H72" s="3" t="s">
        <v>44</v>
      </c>
      <c r="I72" s="3"/>
      <c r="J72" s="3"/>
      <c r="K72" s="5" t="s">
        <v>23</v>
      </c>
      <c r="L72" s="5">
        <v>16.25</v>
      </c>
      <c r="M72" s="2" t="s">
        <v>278</v>
      </c>
    </row>
    <row r="73" spans="1:13" x14ac:dyDescent="0.25">
      <c r="A73" s="5" t="str">
        <f>"6281007032308"</f>
        <v>6281007032308</v>
      </c>
      <c r="B73" s="2" t="s">
        <v>279</v>
      </c>
      <c r="C73" s="2" t="s">
        <v>280</v>
      </c>
      <c r="D73" s="5" t="s">
        <v>15</v>
      </c>
      <c r="E73" s="5" t="s">
        <v>16</v>
      </c>
      <c r="F73" s="5" t="s">
        <v>17</v>
      </c>
      <c r="G73" s="5" t="s">
        <v>18</v>
      </c>
      <c r="H73" s="3" t="s">
        <v>32</v>
      </c>
      <c r="I73" s="3"/>
      <c r="J73" s="3"/>
      <c r="K73" s="5" t="s">
        <v>23</v>
      </c>
      <c r="L73" s="5">
        <v>74.95</v>
      </c>
      <c r="M73" s="2" t="s">
        <v>281</v>
      </c>
    </row>
    <row r="74" spans="1:13" x14ac:dyDescent="0.25">
      <c r="A74" s="5" t="str">
        <f>"6281048108376"</f>
        <v>6281048108376</v>
      </c>
      <c r="B74" s="2" t="s">
        <v>282</v>
      </c>
      <c r="C74" s="2" t="s">
        <v>283</v>
      </c>
      <c r="D74" s="5" t="s">
        <v>15</v>
      </c>
      <c r="E74" s="5" t="s">
        <v>16</v>
      </c>
      <c r="F74" s="5" t="s">
        <v>17</v>
      </c>
      <c r="G74" s="5" t="s">
        <v>18</v>
      </c>
      <c r="H74" s="3" t="s">
        <v>27</v>
      </c>
      <c r="I74" s="3" t="s">
        <v>33</v>
      </c>
      <c r="J74" s="3" t="s">
        <v>109</v>
      </c>
      <c r="K74" s="5" t="s">
        <v>23</v>
      </c>
      <c r="L74" s="5">
        <v>15</v>
      </c>
      <c r="M74" s="2" t="s">
        <v>284</v>
      </c>
    </row>
    <row r="75" spans="1:13" x14ac:dyDescent="0.25">
      <c r="A75" s="5" t="str">
        <f>"6281057007776"</f>
        <v>6281057007776</v>
      </c>
      <c r="B75" s="2" t="s">
        <v>285</v>
      </c>
      <c r="C75" s="2" t="s">
        <v>286</v>
      </c>
      <c r="D75" s="5" t="s">
        <v>15</v>
      </c>
      <c r="E75" s="5" t="s">
        <v>16</v>
      </c>
      <c r="F75" s="5" t="s">
        <v>17</v>
      </c>
      <c r="G75" s="5" t="s">
        <v>18</v>
      </c>
      <c r="H75" s="3" t="s">
        <v>44</v>
      </c>
      <c r="I75" s="3"/>
      <c r="J75" s="3"/>
      <c r="K75" s="5" t="s">
        <v>23</v>
      </c>
      <c r="L75" s="5">
        <v>9.5</v>
      </c>
      <c r="M75" s="2" t="s">
        <v>287</v>
      </c>
    </row>
    <row r="76" spans="1:13" x14ac:dyDescent="0.25">
      <c r="A76" s="5" t="str">
        <f>"6084012090420"</f>
        <v>6084012090420</v>
      </c>
      <c r="B76" s="2" t="s">
        <v>288</v>
      </c>
      <c r="C76" s="2" t="s">
        <v>289</v>
      </c>
      <c r="D76" s="5" t="s">
        <v>15</v>
      </c>
      <c r="E76" s="5" t="s">
        <v>16</v>
      </c>
      <c r="F76" s="5" t="s">
        <v>17</v>
      </c>
      <c r="G76" s="5" t="s">
        <v>18</v>
      </c>
      <c r="H76" s="3" t="s">
        <v>206</v>
      </c>
      <c r="I76" s="3"/>
      <c r="J76" s="3"/>
      <c r="K76" s="5" t="s">
        <v>23</v>
      </c>
      <c r="L76" s="5">
        <v>4.75</v>
      </c>
      <c r="M76" s="2" t="s">
        <v>290</v>
      </c>
    </row>
    <row r="77" spans="1:13" x14ac:dyDescent="0.25">
      <c r="A77" s="5" t="str">
        <f>"6281007045346"</f>
        <v>6281007045346</v>
      </c>
      <c r="B77" s="2" t="s">
        <v>291</v>
      </c>
      <c r="C77" s="2" t="s">
        <v>292</v>
      </c>
      <c r="D77" s="5" t="s">
        <v>15</v>
      </c>
      <c r="E77" s="5" t="s">
        <v>16</v>
      </c>
      <c r="F77" s="5" t="s">
        <v>17</v>
      </c>
      <c r="G77" s="5" t="s">
        <v>18</v>
      </c>
      <c r="H77" s="3" t="s">
        <v>32</v>
      </c>
      <c r="I77" s="3" t="s">
        <v>33</v>
      </c>
      <c r="J77" s="3" t="s">
        <v>293</v>
      </c>
      <c r="K77" s="5" t="s">
        <v>23</v>
      </c>
      <c r="L77" s="5">
        <v>33.950000000000003</v>
      </c>
      <c r="M77" s="2" t="s">
        <v>294</v>
      </c>
    </row>
    <row r="78" spans="1:13" x14ac:dyDescent="0.25">
      <c r="A78" s="5" t="str">
        <f>"6281007056236"</f>
        <v>6281007056236</v>
      </c>
      <c r="B78" s="2" t="s">
        <v>295</v>
      </c>
      <c r="C78" s="2" t="s">
        <v>296</v>
      </c>
      <c r="D78" s="5" t="s">
        <v>15</v>
      </c>
      <c r="E78" s="5" t="s">
        <v>16</v>
      </c>
      <c r="F78" s="5" t="s">
        <v>17</v>
      </c>
      <c r="G78" s="5" t="s">
        <v>18</v>
      </c>
      <c r="H78" s="3" t="s">
        <v>32</v>
      </c>
      <c r="I78" s="3" t="s">
        <v>33</v>
      </c>
      <c r="J78" s="3"/>
      <c r="K78" s="5" t="s">
        <v>23</v>
      </c>
      <c r="L78" s="5">
        <v>7.25</v>
      </c>
      <c r="M78" s="2" t="s">
        <v>297</v>
      </c>
    </row>
    <row r="79" spans="1:13" x14ac:dyDescent="0.25">
      <c r="A79" s="5" t="str">
        <f>"6281007037181"</f>
        <v>6281007037181</v>
      </c>
      <c r="B79" s="2" t="s">
        <v>298</v>
      </c>
      <c r="C79" s="2" t="s">
        <v>299</v>
      </c>
      <c r="D79" s="5" t="s">
        <v>15</v>
      </c>
      <c r="E79" s="5" t="s">
        <v>16</v>
      </c>
      <c r="F79" s="5" t="s">
        <v>17</v>
      </c>
      <c r="G79" s="5" t="s">
        <v>18</v>
      </c>
      <c r="H79" s="3" t="s">
        <v>32</v>
      </c>
      <c r="I79" s="3" t="s">
        <v>33</v>
      </c>
      <c r="J79" s="3" t="s">
        <v>60</v>
      </c>
      <c r="K79" s="5" t="s">
        <v>23</v>
      </c>
      <c r="L79" s="5">
        <v>7.25</v>
      </c>
      <c r="M79" s="2" t="s">
        <v>300</v>
      </c>
    </row>
    <row r="80" spans="1:13" x14ac:dyDescent="0.25">
      <c r="A80" s="5" t="str">
        <f>"3270190026471"</f>
        <v>3270190026471</v>
      </c>
      <c r="B80" s="2" t="s">
        <v>301</v>
      </c>
      <c r="C80" s="2" t="s">
        <v>302</v>
      </c>
      <c r="D80" s="5" t="s">
        <v>15</v>
      </c>
      <c r="E80" s="5" t="s">
        <v>16</v>
      </c>
      <c r="F80" s="5" t="s">
        <v>17</v>
      </c>
      <c r="G80" s="5" t="s">
        <v>18</v>
      </c>
      <c r="H80" s="3" t="s">
        <v>165</v>
      </c>
      <c r="I80" s="3" t="s">
        <v>108</v>
      </c>
      <c r="J80" s="3" t="s">
        <v>303</v>
      </c>
      <c r="K80" s="5" t="s">
        <v>23</v>
      </c>
      <c r="L80" s="5">
        <v>41.95</v>
      </c>
      <c r="M80" s="2" t="s">
        <v>304</v>
      </c>
    </row>
    <row r="81" spans="1:13" x14ac:dyDescent="0.25">
      <c r="A81" s="5" t="str">
        <f>"6281022118551"</f>
        <v>6281022118551</v>
      </c>
      <c r="B81" s="2" t="s">
        <v>305</v>
      </c>
      <c r="C81" s="2" t="s">
        <v>306</v>
      </c>
      <c r="D81" s="5" t="s">
        <v>15</v>
      </c>
      <c r="E81" s="5" t="s">
        <v>16</v>
      </c>
      <c r="F81" s="5" t="s">
        <v>17</v>
      </c>
      <c r="G81" s="5" t="s">
        <v>18</v>
      </c>
      <c r="H81" s="3" t="s">
        <v>59</v>
      </c>
      <c r="I81" s="3"/>
      <c r="J81" s="3" t="s">
        <v>92</v>
      </c>
      <c r="K81" s="5" t="s">
        <v>23</v>
      </c>
      <c r="L81" s="5">
        <v>11.95</v>
      </c>
      <c r="M81" s="2" t="s">
        <v>307</v>
      </c>
    </row>
    <row r="82" spans="1:13" x14ac:dyDescent="0.25">
      <c r="A82" s="5" t="str">
        <f>"6281022130485"</f>
        <v>6281022130485</v>
      </c>
      <c r="B82" s="2" t="s">
        <v>308</v>
      </c>
      <c r="C82" s="2" t="s">
        <v>309</v>
      </c>
      <c r="D82" s="5" t="s">
        <v>15</v>
      </c>
      <c r="E82" s="5" t="s">
        <v>16</v>
      </c>
      <c r="F82" s="5" t="s">
        <v>17</v>
      </c>
      <c r="G82" s="5" t="s">
        <v>18</v>
      </c>
      <c r="H82" s="3"/>
      <c r="I82" s="3"/>
      <c r="J82" s="3"/>
      <c r="K82" s="5" t="s">
        <v>23</v>
      </c>
      <c r="L82" s="5">
        <v>12</v>
      </c>
      <c r="M82" s="2" t="s">
        <v>310</v>
      </c>
    </row>
    <row r="83" spans="1:13" x14ac:dyDescent="0.25">
      <c r="A83" s="5" t="str">
        <f>"6281018322894"</f>
        <v>6281018322894</v>
      </c>
      <c r="B83" s="2" t="s">
        <v>311</v>
      </c>
      <c r="C83" s="2" t="s">
        <v>312</v>
      </c>
      <c r="D83" s="5" t="s">
        <v>15</v>
      </c>
      <c r="E83" s="5" t="s">
        <v>16</v>
      </c>
      <c r="F83" s="5" t="s">
        <v>17</v>
      </c>
      <c r="G83" s="5" t="s">
        <v>18</v>
      </c>
      <c r="H83" s="3" t="s">
        <v>67</v>
      </c>
      <c r="I83" s="3"/>
      <c r="J83" s="3"/>
      <c r="K83" s="5" t="s">
        <v>23</v>
      </c>
      <c r="L83" s="5">
        <v>24</v>
      </c>
      <c r="M83" s="2" t="s">
        <v>313</v>
      </c>
    </row>
    <row r="84" spans="1:13" x14ac:dyDescent="0.25">
      <c r="A84" s="5" t="str">
        <f>"2143449000007"</f>
        <v>2143449000007</v>
      </c>
      <c r="B84" s="2" t="s">
        <v>314</v>
      </c>
      <c r="C84" s="2" t="s">
        <v>315</v>
      </c>
      <c r="D84" s="5" t="s">
        <v>15</v>
      </c>
      <c r="E84" s="5" t="s">
        <v>16</v>
      </c>
      <c r="F84" s="5" t="s">
        <v>17</v>
      </c>
      <c r="G84" s="5" t="s">
        <v>18</v>
      </c>
      <c r="H84" s="3"/>
      <c r="I84" s="3"/>
      <c r="J84" s="3"/>
      <c r="K84" s="5" t="s">
        <v>19</v>
      </c>
      <c r="L84" s="5">
        <v>21.95</v>
      </c>
      <c r="M84" s="2" t="s">
        <v>316</v>
      </c>
    </row>
    <row r="85" spans="1:13" x14ac:dyDescent="0.25">
      <c r="A85" s="5" t="str">
        <f>"6281007071840"</f>
        <v>6281007071840</v>
      </c>
      <c r="B85" s="2" t="s">
        <v>317</v>
      </c>
      <c r="C85" s="2" t="s">
        <v>318</v>
      </c>
      <c r="D85" s="5" t="s">
        <v>15</v>
      </c>
      <c r="E85" s="5" t="s">
        <v>16</v>
      </c>
      <c r="F85" s="5" t="s">
        <v>17</v>
      </c>
      <c r="G85" s="5" t="s">
        <v>18</v>
      </c>
      <c r="H85" s="3" t="s">
        <v>32</v>
      </c>
      <c r="I85" s="3"/>
      <c r="J85" s="3" t="s">
        <v>319</v>
      </c>
      <c r="K85" s="5" t="s">
        <v>23</v>
      </c>
      <c r="L85" s="5">
        <v>5.95</v>
      </c>
      <c r="M85" s="2" t="s">
        <v>320</v>
      </c>
    </row>
    <row r="86" spans="1:13" x14ac:dyDescent="0.25">
      <c r="A86" s="5" t="str">
        <f>"3560070338832"</f>
        <v>3560070338832</v>
      </c>
      <c r="B86" s="2" t="s">
        <v>321</v>
      </c>
      <c r="C86" s="2" t="s">
        <v>322</v>
      </c>
      <c r="D86" s="5" t="s">
        <v>15</v>
      </c>
      <c r="E86" s="5" t="s">
        <v>16</v>
      </c>
      <c r="F86" s="5" t="s">
        <v>17</v>
      </c>
      <c r="G86" s="5" t="s">
        <v>18</v>
      </c>
      <c r="H86" s="3" t="s">
        <v>165</v>
      </c>
      <c r="I86" s="3"/>
      <c r="J86" s="3"/>
      <c r="K86" s="5" t="s">
        <v>23</v>
      </c>
      <c r="L86" s="5">
        <v>29.95</v>
      </c>
      <c r="M86" s="2" t="s">
        <v>323</v>
      </c>
    </row>
    <row r="87" spans="1:13" x14ac:dyDescent="0.25">
      <c r="A87" s="5" t="str">
        <f>"5740900403574"</f>
        <v>5740900403574</v>
      </c>
      <c r="B87" s="2" t="s">
        <v>324</v>
      </c>
      <c r="C87" s="2" t="s">
        <v>325</v>
      </c>
      <c r="D87" s="5" t="s">
        <v>15</v>
      </c>
      <c r="E87" s="5" t="s">
        <v>16</v>
      </c>
      <c r="F87" s="5" t="s">
        <v>17</v>
      </c>
      <c r="G87" s="5" t="s">
        <v>18</v>
      </c>
      <c r="H87" s="3" t="s">
        <v>173</v>
      </c>
      <c r="I87" s="3" t="s">
        <v>174</v>
      </c>
      <c r="J87" s="3" t="s">
        <v>109</v>
      </c>
      <c r="K87" s="5" t="s">
        <v>23</v>
      </c>
      <c r="L87" s="5">
        <v>27.95</v>
      </c>
      <c r="M87" s="2" t="s">
        <v>326</v>
      </c>
    </row>
    <row r="88" spans="1:13" x14ac:dyDescent="0.25">
      <c r="A88" s="5" t="str">
        <f>"6084012090505"</f>
        <v>6084012090505</v>
      </c>
      <c r="B88" s="2" t="s">
        <v>327</v>
      </c>
      <c r="C88" s="2" t="s">
        <v>328</v>
      </c>
      <c r="D88" s="5" t="s">
        <v>15</v>
      </c>
      <c r="E88" s="5" t="s">
        <v>16</v>
      </c>
      <c r="F88" s="5" t="s">
        <v>17</v>
      </c>
      <c r="G88" s="5" t="s">
        <v>18</v>
      </c>
      <c r="H88" s="3" t="s">
        <v>206</v>
      </c>
      <c r="I88" s="3"/>
      <c r="J88" s="3"/>
      <c r="K88" s="5" t="s">
        <v>23</v>
      </c>
      <c r="L88" s="5">
        <v>30.5</v>
      </c>
      <c r="M88" s="2" t="s">
        <v>329</v>
      </c>
    </row>
    <row r="89" spans="1:13" x14ac:dyDescent="0.25">
      <c r="A89" s="5" t="str">
        <f>"5711953001406"</f>
        <v>5711953001406</v>
      </c>
      <c r="B89" s="2" t="s">
        <v>330</v>
      </c>
      <c r="C89" s="2" t="s">
        <v>331</v>
      </c>
      <c r="D89" s="5" t="s">
        <v>15</v>
      </c>
      <c r="E89" s="5" t="s">
        <v>16</v>
      </c>
      <c r="F89" s="5" t="s">
        <v>17</v>
      </c>
      <c r="G89" s="5" t="s">
        <v>18</v>
      </c>
      <c r="H89" s="3" t="s">
        <v>27</v>
      </c>
      <c r="I89" s="3" t="s">
        <v>174</v>
      </c>
      <c r="J89" s="3" t="s">
        <v>238</v>
      </c>
      <c r="K89" s="5" t="s">
        <v>23</v>
      </c>
      <c r="L89" s="5">
        <v>31.25</v>
      </c>
      <c r="M89" s="2" t="s">
        <v>332</v>
      </c>
    </row>
    <row r="90" spans="1:13" x14ac:dyDescent="0.25">
      <c r="A90" s="5" t="str">
        <f>"5000224026386"</f>
        <v>5000224026386</v>
      </c>
      <c r="B90" s="2" t="s">
        <v>333</v>
      </c>
      <c r="C90" s="2" t="s">
        <v>334</v>
      </c>
      <c r="D90" s="5" t="s">
        <v>15</v>
      </c>
      <c r="E90" s="5" t="s">
        <v>16</v>
      </c>
      <c r="F90" s="5" t="s">
        <v>17</v>
      </c>
      <c r="G90" s="5" t="s">
        <v>18</v>
      </c>
      <c r="H90" s="3" t="s">
        <v>335</v>
      </c>
      <c r="I90" s="3"/>
      <c r="J90" s="3"/>
      <c r="K90" s="5" t="s">
        <v>23</v>
      </c>
      <c r="L90" s="5">
        <v>82.95</v>
      </c>
      <c r="M90" s="2" t="s">
        <v>336</v>
      </c>
    </row>
    <row r="91" spans="1:13" x14ac:dyDescent="0.25">
      <c r="A91" s="5" t="str">
        <f>"6281007059565"</f>
        <v>6281007059565</v>
      </c>
      <c r="B91" s="2" t="s">
        <v>337</v>
      </c>
      <c r="C91" s="2" t="s">
        <v>338</v>
      </c>
      <c r="D91" s="5" t="s">
        <v>15</v>
      </c>
      <c r="E91" s="5" t="s">
        <v>16</v>
      </c>
      <c r="F91" s="5" t="s">
        <v>17</v>
      </c>
      <c r="G91" s="5" t="s">
        <v>18</v>
      </c>
      <c r="H91" s="3" t="s">
        <v>32</v>
      </c>
      <c r="I91" s="3"/>
      <c r="J91" s="3"/>
      <c r="K91" s="5" t="s">
        <v>23</v>
      </c>
      <c r="L91" s="5">
        <v>7.25</v>
      </c>
      <c r="M91" s="2" t="s">
        <v>339</v>
      </c>
    </row>
    <row r="92" spans="1:13" x14ac:dyDescent="0.25">
      <c r="A92" s="5" t="str">
        <f>"6281022130492"</f>
        <v>6281022130492</v>
      </c>
      <c r="B92" s="2" t="s">
        <v>340</v>
      </c>
      <c r="C92" s="2" t="s">
        <v>341</v>
      </c>
      <c r="D92" s="5" t="s">
        <v>15</v>
      </c>
      <c r="E92" s="5" t="s">
        <v>16</v>
      </c>
      <c r="F92" s="5" t="s">
        <v>17</v>
      </c>
      <c r="G92" s="5" t="s">
        <v>18</v>
      </c>
      <c r="H92" s="3"/>
      <c r="I92" s="3"/>
      <c r="J92" s="3"/>
      <c r="K92" s="5" t="s">
        <v>23</v>
      </c>
      <c r="L92" s="5">
        <v>12</v>
      </c>
      <c r="M92" s="2" t="s">
        <v>342</v>
      </c>
    </row>
    <row r="93" spans="1:13" x14ac:dyDescent="0.25">
      <c r="A93" s="5" t="str">
        <f>"3560070100453"</f>
        <v>3560070100453</v>
      </c>
      <c r="B93" s="2" t="s">
        <v>343</v>
      </c>
      <c r="C93" s="2" t="s">
        <v>344</v>
      </c>
      <c r="D93" s="5" t="s">
        <v>15</v>
      </c>
      <c r="E93" s="5" t="s">
        <v>16</v>
      </c>
      <c r="F93" s="5" t="s">
        <v>17</v>
      </c>
      <c r="G93" s="5" t="s">
        <v>18</v>
      </c>
      <c r="H93" s="3" t="s">
        <v>165</v>
      </c>
      <c r="I93" s="3" t="s">
        <v>345</v>
      </c>
      <c r="J93" s="3" t="s">
        <v>28</v>
      </c>
      <c r="K93" s="5" t="s">
        <v>23</v>
      </c>
      <c r="L93" s="5">
        <v>29.95</v>
      </c>
      <c r="M93" s="2" t="s">
        <v>346</v>
      </c>
    </row>
    <row r="94" spans="1:13" x14ac:dyDescent="0.25">
      <c r="A94" s="5" t="str">
        <f>"5411188119753"</f>
        <v>5411188119753</v>
      </c>
      <c r="B94" s="2" t="s">
        <v>347</v>
      </c>
      <c r="C94" s="2" t="s">
        <v>348</v>
      </c>
      <c r="D94" s="5" t="s">
        <v>15</v>
      </c>
      <c r="E94" s="5" t="s">
        <v>16</v>
      </c>
      <c r="F94" s="5" t="s">
        <v>17</v>
      </c>
      <c r="G94" s="5" t="s">
        <v>18</v>
      </c>
      <c r="H94" s="3" t="s">
        <v>230</v>
      </c>
      <c r="I94" s="3" t="s">
        <v>349</v>
      </c>
      <c r="J94" s="3" t="s">
        <v>238</v>
      </c>
      <c r="K94" s="5" t="s">
        <v>23</v>
      </c>
      <c r="L94" s="5">
        <v>28</v>
      </c>
      <c r="M94" s="2" t="s">
        <v>350</v>
      </c>
    </row>
    <row r="95" spans="1:13" x14ac:dyDescent="0.25">
      <c r="A95" s="5" t="str">
        <f>"7622210624697"</f>
        <v>7622210624697</v>
      </c>
      <c r="B95" s="2" t="s">
        <v>351</v>
      </c>
      <c r="C95" s="2" t="s">
        <v>352</v>
      </c>
      <c r="D95" s="5" t="s">
        <v>15</v>
      </c>
      <c r="E95" s="5" t="s">
        <v>16</v>
      </c>
      <c r="F95" s="5" t="s">
        <v>17</v>
      </c>
      <c r="G95" s="5" t="s">
        <v>18</v>
      </c>
      <c r="H95" s="3" t="s">
        <v>335</v>
      </c>
      <c r="I95" s="3" t="s">
        <v>353</v>
      </c>
      <c r="J95" s="3" t="s">
        <v>354</v>
      </c>
      <c r="K95" s="5" t="s">
        <v>23</v>
      </c>
      <c r="L95" s="5">
        <v>17.95</v>
      </c>
      <c r="M95" s="2" t="s">
        <v>355</v>
      </c>
    </row>
    <row r="96" spans="1:13" x14ac:dyDescent="0.25">
      <c r="A96" s="5" t="str">
        <f>"2140547000007"</f>
        <v>2140547000007</v>
      </c>
      <c r="B96" s="2" t="s">
        <v>356</v>
      </c>
      <c r="C96" s="2" t="s">
        <v>357</v>
      </c>
      <c r="D96" s="5" t="s">
        <v>15</v>
      </c>
      <c r="E96" s="5" t="s">
        <v>16</v>
      </c>
      <c r="F96" s="5" t="s">
        <v>17</v>
      </c>
      <c r="G96" s="5" t="s">
        <v>18</v>
      </c>
      <c r="H96" s="3"/>
      <c r="I96" s="3"/>
      <c r="J96" s="3"/>
      <c r="K96" s="5" t="s">
        <v>19</v>
      </c>
      <c r="L96" s="5">
        <v>65.95</v>
      </c>
      <c r="M96" s="2" t="s">
        <v>358</v>
      </c>
    </row>
    <row r="97" spans="1:13" x14ac:dyDescent="0.25">
      <c r="A97" s="5" t="str">
        <f>"6281018322795"</f>
        <v>6281018322795</v>
      </c>
      <c r="B97" s="2" t="s">
        <v>359</v>
      </c>
      <c r="C97" s="2" t="s">
        <v>360</v>
      </c>
      <c r="D97" s="5" t="s">
        <v>15</v>
      </c>
      <c r="E97" s="5" t="s">
        <v>16</v>
      </c>
      <c r="F97" s="5" t="s">
        <v>17</v>
      </c>
      <c r="G97" s="5" t="s">
        <v>18</v>
      </c>
      <c r="H97" s="3" t="s">
        <v>67</v>
      </c>
      <c r="I97" s="3"/>
      <c r="J97" s="3"/>
      <c r="K97" s="5" t="s">
        <v>23</v>
      </c>
      <c r="L97" s="5">
        <v>24</v>
      </c>
      <c r="M97" s="2" t="s">
        <v>361</v>
      </c>
    </row>
    <row r="98" spans="1:13" x14ac:dyDescent="0.25">
      <c r="A98" s="5" t="str">
        <f>"6281007023221"</f>
        <v>6281007023221</v>
      </c>
      <c r="B98" s="2" t="s">
        <v>362</v>
      </c>
      <c r="C98" s="2" t="s">
        <v>363</v>
      </c>
      <c r="D98" s="5" t="s">
        <v>15</v>
      </c>
      <c r="E98" s="5" t="s">
        <v>16</v>
      </c>
      <c r="F98" s="5" t="s">
        <v>17</v>
      </c>
      <c r="G98" s="5" t="s">
        <v>18</v>
      </c>
      <c r="H98" s="3" t="s">
        <v>32</v>
      </c>
      <c r="I98" s="3" t="s">
        <v>33</v>
      </c>
      <c r="J98" s="3"/>
      <c r="K98" s="5" t="s">
        <v>23</v>
      </c>
      <c r="L98" s="5">
        <v>2</v>
      </c>
      <c r="M98" s="2" t="s">
        <v>364</v>
      </c>
    </row>
    <row r="99" spans="1:13" x14ac:dyDescent="0.25">
      <c r="A99" s="5" t="str">
        <f>"7622210624918"</f>
        <v>7622210624918</v>
      </c>
      <c r="B99" s="2" t="s">
        <v>365</v>
      </c>
      <c r="C99" s="2" t="s">
        <v>366</v>
      </c>
      <c r="D99" s="5" t="s">
        <v>15</v>
      </c>
      <c r="E99" s="5" t="s">
        <v>16</v>
      </c>
      <c r="F99" s="5" t="s">
        <v>17</v>
      </c>
      <c r="G99" s="5" t="s">
        <v>18</v>
      </c>
      <c r="H99" s="3" t="s">
        <v>335</v>
      </c>
      <c r="I99" s="3" t="s">
        <v>353</v>
      </c>
      <c r="J99" s="3" t="s">
        <v>367</v>
      </c>
      <c r="K99" s="5" t="s">
        <v>23</v>
      </c>
      <c r="L99" s="5">
        <v>26.95</v>
      </c>
      <c r="M99" s="2" t="s">
        <v>368</v>
      </c>
    </row>
    <row r="100" spans="1:13" x14ac:dyDescent="0.25">
      <c r="A100" s="5" t="str">
        <f>"6281007049207"</f>
        <v>6281007049207</v>
      </c>
      <c r="B100" s="2" t="s">
        <v>369</v>
      </c>
      <c r="C100" s="2" t="s">
        <v>370</v>
      </c>
      <c r="D100" s="5" t="s">
        <v>15</v>
      </c>
      <c r="E100" s="5" t="s">
        <v>16</v>
      </c>
      <c r="F100" s="5" t="s">
        <v>17</v>
      </c>
      <c r="G100" s="5" t="s">
        <v>18</v>
      </c>
      <c r="H100" s="3" t="s">
        <v>32</v>
      </c>
      <c r="I100" s="3" t="s">
        <v>33</v>
      </c>
      <c r="J100" s="3" t="s">
        <v>371</v>
      </c>
      <c r="K100" s="5" t="s">
        <v>23</v>
      </c>
      <c r="L100" s="5">
        <v>2.2000000000000002</v>
      </c>
      <c r="M100" s="2" t="s">
        <v>372</v>
      </c>
    </row>
    <row r="101" spans="1:13" x14ac:dyDescent="0.25">
      <c r="A101" s="5" t="str">
        <f>"3560070930036"</f>
        <v>3560070930036</v>
      </c>
      <c r="B101" s="2" t="s">
        <v>373</v>
      </c>
      <c r="C101" s="2" t="s">
        <v>374</v>
      </c>
      <c r="D101" s="5" t="s">
        <v>15</v>
      </c>
      <c r="E101" s="5" t="s">
        <v>16</v>
      </c>
      <c r="F101" s="5" t="s">
        <v>17</v>
      </c>
      <c r="G101" s="5" t="s">
        <v>18</v>
      </c>
      <c r="H101" s="3" t="s">
        <v>165</v>
      </c>
      <c r="I101" s="3" t="s">
        <v>108</v>
      </c>
      <c r="J101" s="3" t="s">
        <v>375</v>
      </c>
      <c r="K101" s="5" t="s">
        <v>23</v>
      </c>
      <c r="L101" s="5">
        <v>68.95</v>
      </c>
      <c r="M101" s="2" t="s">
        <v>376</v>
      </c>
    </row>
    <row r="102" spans="1:13" x14ac:dyDescent="0.25">
      <c r="A102" s="5" t="str">
        <f>"6281024116463"</f>
        <v>6281024116463</v>
      </c>
      <c r="B102" s="2" t="s">
        <v>377</v>
      </c>
      <c r="C102" s="2" t="s">
        <v>378</v>
      </c>
      <c r="D102" s="5" t="s">
        <v>15</v>
      </c>
      <c r="E102" s="5" t="s">
        <v>16</v>
      </c>
      <c r="F102" s="5" t="s">
        <v>17</v>
      </c>
      <c r="G102" s="5" t="s">
        <v>18</v>
      </c>
      <c r="H102" s="3"/>
      <c r="I102" s="3" t="s">
        <v>108</v>
      </c>
      <c r="J102" s="3" t="s">
        <v>109</v>
      </c>
      <c r="K102" s="5" t="s">
        <v>23</v>
      </c>
      <c r="L102" s="5">
        <v>35.5</v>
      </c>
      <c r="M102" s="2" t="s">
        <v>379</v>
      </c>
    </row>
    <row r="103" spans="1:13" x14ac:dyDescent="0.25">
      <c r="A103" s="5" t="str">
        <f>"6281007169004"</f>
        <v>6281007169004</v>
      </c>
      <c r="B103" s="2" t="s">
        <v>380</v>
      </c>
      <c r="C103" s="2" t="s">
        <v>381</v>
      </c>
      <c r="D103" s="5" t="s">
        <v>15</v>
      </c>
      <c r="E103" s="5" t="s">
        <v>16</v>
      </c>
      <c r="F103" s="5" t="s">
        <v>17</v>
      </c>
      <c r="G103" s="5" t="s">
        <v>18</v>
      </c>
      <c r="H103" s="3" t="s">
        <v>32</v>
      </c>
      <c r="I103" s="3"/>
      <c r="J103" s="3"/>
      <c r="K103" s="5" t="s">
        <v>23</v>
      </c>
      <c r="L103" s="5">
        <v>11.25</v>
      </c>
      <c r="M103" s="2" t="s">
        <v>382</v>
      </c>
    </row>
    <row r="104" spans="1:13" x14ac:dyDescent="0.25">
      <c r="A104" s="5" t="str">
        <f>"5711953030611"</f>
        <v>5711953030611</v>
      </c>
      <c r="B104" s="2" t="s">
        <v>383</v>
      </c>
      <c r="C104" s="2" t="s">
        <v>384</v>
      </c>
      <c r="D104" s="5" t="s">
        <v>15</v>
      </c>
      <c r="E104" s="5" t="s">
        <v>16</v>
      </c>
      <c r="F104" s="5" t="s">
        <v>17</v>
      </c>
      <c r="G104" s="5" t="s">
        <v>18</v>
      </c>
      <c r="H104" s="3" t="s">
        <v>27</v>
      </c>
      <c r="I104" s="3" t="s">
        <v>174</v>
      </c>
      <c r="J104" s="3" t="s">
        <v>385</v>
      </c>
      <c r="K104" s="5" t="s">
        <v>23</v>
      </c>
      <c r="L104" s="5">
        <v>7</v>
      </c>
      <c r="M104" s="2" t="s">
        <v>386</v>
      </c>
    </row>
    <row r="105" spans="1:13" x14ac:dyDescent="0.25">
      <c r="A105" s="5" t="str">
        <f>"5740900806504"</f>
        <v>5740900806504</v>
      </c>
      <c r="B105" s="2" t="s">
        <v>387</v>
      </c>
      <c r="C105" s="2" t="s">
        <v>388</v>
      </c>
      <c r="D105" s="5" t="s">
        <v>15</v>
      </c>
      <c r="E105" s="5" t="s">
        <v>16</v>
      </c>
      <c r="F105" s="5" t="s">
        <v>17</v>
      </c>
      <c r="G105" s="5" t="s">
        <v>18</v>
      </c>
      <c r="H105" s="3" t="s">
        <v>173</v>
      </c>
      <c r="I105" s="3"/>
      <c r="J105" s="3"/>
      <c r="K105" s="5" t="s">
        <v>23</v>
      </c>
      <c r="L105" s="5">
        <v>54.95</v>
      </c>
      <c r="M105" s="2" t="s">
        <v>389</v>
      </c>
    </row>
    <row r="106" spans="1:13" x14ac:dyDescent="0.25">
      <c r="A106" s="5" t="str">
        <f>"6281048100721"</f>
        <v>6281048100721</v>
      </c>
      <c r="B106" s="2" t="s">
        <v>390</v>
      </c>
      <c r="C106" s="2" t="s">
        <v>391</v>
      </c>
      <c r="D106" s="5" t="s">
        <v>15</v>
      </c>
      <c r="E106" s="5" t="s">
        <v>16</v>
      </c>
      <c r="F106" s="5" t="s">
        <v>17</v>
      </c>
      <c r="G106" s="5" t="s">
        <v>18</v>
      </c>
      <c r="H106" s="3" t="s">
        <v>27</v>
      </c>
      <c r="I106" s="3"/>
      <c r="J106" s="3" t="s">
        <v>392</v>
      </c>
      <c r="K106" s="5" t="s">
        <v>23</v>
      </c>
      <c r="L106" s="5">
        <v>49.95</v>
      </c>
      <c r="M106" s="2" t="s">
        <v>393</v>
      </c>
    </row>
    <row r="107" spans="1:13" x14ac:dyDescent="0.25">
      <c r="A107" s="5" t="str">
        <f>"6281018130246"</f>
        <v>6281018130246</v>
      </c>
      <c r="B107" s="2" t="s">
        <v>394</v>
      </c>
      <c r="C107" s="2" t="s">
        <v>395</v>
      </c>
      <c r="D107" s="5" t="s">
        <v>15</v>
      </c>
      <c r="E107" s="5" t="s">
        <v>16</v>
      </c>
      <c r="F107" s="5" t="s">
        <v>17</v>
      </c>
      <c r="G107" s="5" t="s">
        <v>18</v>
      </c>
      <c r="H107" s="3" t="s">
        <v>67</v>
      </c>
      <c r="I107" s="3"/>
      <c r="J107" s="3"/>
      <c r="K107" s="5" t="s">
        <v>23</v>
      </c>
      <c r="L107" s="5">
        <v>10</v>
      </c>
      <c r="M107" s="2" t="s">
        <v>396</v>
      </c>
    </row>
    <row r="108" spans="1:13" x14ac:dyDescent="0.25">
      <c r="A108" s="5" t="str">
        <f>"6281007042765"</f>
        <v>6281007042765</v>
      </c>
      <c r="B108" s="2" t="s">
        <v>397</v>
      </c>
      <c r="C108" s="2" t="s">
        <v>398</v>
      </c>
      <c r="D108" s="5" t="s">
        <v>15</v>
      </c>
      <c r="E108" s="5" t="s">
        <v>16</v>
      </c>
      <c r="F108" s="5" t="s">
        <v>17</v>
      </c>
      <c r="G108" s="5" t="s">
        <v>18</v>
      </c>
      <c r="H108" s="3" t="s">
        <v>32</v>
      </c>
      <c r="I108" s="3" t="s">
        <v>33</v>
      </c>
      <c r="J108" s="3"/>
      <c r="K108" s="5" t="s">
        <v>23</v>
      </c>
      <c r="L108" s="5">
        <v>16.5</v>
      </c>
      <c r="M108" s="2" t="s">
        <v>399</v>
      </c>
    </row>
    <row r="109" spans="1:13" x14ac:dyDescent="0.25">
      <c r="A109" s="5" t="str">
        <f>"6281007063050"</f>
        <v>6281007063050</v>
      </c>
      <c r="B109" s="2" t="s">
        <v>400</v>
      </c>
      <c r="C109" s="2" t="s">
        <v>401</v>
      </c>
      <c r="D109" s="5" t="s">
        <v>15</v>
      </c>
      <c r="E109" s="5" t="s">
        <v>16</v>
      </c>
      <c r="F109" s="5" t="s">
        <v>17</v>
      </c>
      <c r="G109" s="5" t="s">
        <v>18</v>
      </c>
      <c r="H109" s="3" t="s">
        <v>32</v>
      </c>
      <c r="I109" s="3" t="s">
        <v>33</v>
      </c>
      <c r="J109" s="3" t="s">
        <v>354</v>
      </c>
      <c r="K109" s="5" t="s">
        <v>23</v>
      </c>
      <c r="L109" s="5">
        <v>13.5</v>
      </c>
      <c r="M109" s="2" t="s">
        <v>402</v>
      </c>
    </row>
    <row r="110" spans="1:13" x14ac:dyDescent="0.25">
      <c r="A110" s="5" t="str">
        <f>"2140399000002"</f>
        <v>2140399000002</v>
      </c>
      <c r="B110" s="2" t="s">
        <v>403</v>
      </c>
      <c r="C110" s="2" t="s">
        <v>404</v>
      </c>
      <c r="D110" s="5" t="s">
        <v>15</v>
      </c>
      <c r="E110" s="5" t="s">
        <v>16</v>
      </c>
      <c r="F110" s="5" t="s">
        <v>17</v>
      </c>
      <c r="G110" s="5" t="s">
        <v>18</v>
      </c>
      <c r="H110" s="3"/>
      <c r="I110" s="3"/>
      <c r="J110" s="3"/>
      <c r="K110" s="5" t="s">
        <v>19</v>
      </c>
      <c r="L110" s="5">
        <v>76.95</v>
      </c>
      <c r="M110" s="2" t="s">
        <v>405</v>
      </c>
    </row>
    <row r="111" spans="1:13" x14ac:dyDescent="0.25">
      <c r="A111" s="5" t="str">
        <f>"6281024110706"</f>
        <v>6281024110706</v>
      </c>
      <c r="B111" s="2" t="s">
        <v>406</v>
      </c>
      <c r="C111" s="2" t="s">
        <v>407</v>
      </c>
      <c r="D111" s="5" t="s">
        <v>15</v>
      </c>
      <c r="E111" s="5" t="s">
        <v>16</v>
      </c>
      <c r="F111" s="5" t="s">
        <v>17</v>
      </c>
      <c r="G111" s="5" t="s">
        <v>18</v>
      </c>
      <c r="H111" s="3" t="s">
        <v>107</v>
      </c>
      <c r="I111" s="3" t="s">
        <v>33</v>
      </c>
      <c r="J111" s="3" t="s">
        <v>126</v>
      </c>
      <c r="K111" s="5" t="s">
        <v>23</v>
      </c>
      <c r="L111" s="5">
        <v>35.5</v>
      </c>
      <c r="M111" s="2" t="s">
        <v>408</v>
      </c>
    </row>
    <row r="112" spans="1:13" x14ac:dyDescent="0.25">
      <c r="A112" s="5" t="str">
        <f>"6281022107289"</f>
        <v>6281022107289</v>
      </c>
      <c r="B112" s="2" t="s">
        <v>409</v>
      </c>
      <c r="C112" s="2" t="s">
        <v>410</v>
      </c>
      <c r="D112" s="5" t="s">
        <v>15</v>
      </c>
      <c r="E112" s="5" t="s">
        <v>16</v>
      </c>
      <c r="F112" s="5" t="s">
        <v>17</v>
      </c>
      <c r="G112" s="5" t="s">
        <v>18</v>
      </c>
      <c r="H112" s="3"/>
      <c r="I112" s="3"/>
      <c r="J112" s="3"/>
      <c r="K112" s="5" t="s">
        <v>23</v>
      </c>
      <c r="L112" s="5">
        <v>14</v>
      </c>
      <c r="M112" s="2" t="s">
        <v>411</v>
      </c>
    </row>
    <row r="113" spans="1:13" x14ac:dyDescent="0.25">
      <c r="A113" s="5" t="str">
        <f>"3245414117259"</f>
        <v>3245414117259</v>
      </c>
      <c r="B113" s="2" t="s">
        <v>412</v>
      </c>
      <c r="C113" s="2" t="s">
        <v>413</v>
      </c>
      <c r="D113" s="5" t="s">
        <v>15</v>
      </c>
      <c r="E113" s="5" t="s">
        <v>16</v>
      </c>
      <c r="F113" s="5" t="s">
        <v>17</v>
      </c>
      <c r="G113" s="5" t="s">
        <v>18</v>
      </c>
      <c r="H113" s="3" t="s">
        <v>165</v>
      </c>
      <c r="I113" s="3"/>
      <c r="J113" s="3"/>
      <c r="K113" s="5" t="s">
        <v>23</v>
      </c>
      <c r="L113" s="5">
        <v>19.95</v>
      </c>
      <c r="M113" s="2" t="s">
        <v>414</v>
      </c>
    </row>
    <row r="114" spans="1:13" x14ac:dyDescent="0.25">
      <c r="A114" s="5" t="str">
        <f>"8692971032573"</f>
        <v>8692971032573</v>
      </c>
      <c r="B114" s="2" t="s">
        <v>415</v>
      </c>
      <c r="C114" s="2" t="s">
        <v>416</v>
      </c>
      <c r="D114" s="5" t="s">
        <v>15</v>
      </c>
      <c r="E114" s="5" t="s">
        <v>16</v>
      </c>
      <c r="F114" s="5" t="s">
        <v>17</v>
      </c>
      <c r="G114" s="5" t="s">
        <v>18</v>
      </c>
      <c r="H114" s="3" t="s">
        <v>417</v>
      </c>
      <c r="I114" s="3"/>
      <c r="J114" s="3" t="s">
        <v>418</v>
      </c>
      <c r="K114" s="5" t="s">
        <v>23</v>
      </c>
      <c r="L114" s="5">
        <v>13.25</v>
      </c>
      <c r="M114" s="2" t="s">
        <v>419</v>
      </c>
    </row>
    <row r="115" spans="1:13" x14ac:dyDescent="0.25">
      <c r="A115" s="5" t="str">
        <f>"6287004520350"</f>
        <v>6287004520350</v>
      </c>
      <c r="B115" s="2" t="s">
        <v>420</v>
      </c>
      <c r="C115" s="2" t="s">
        <v>421</v>
      </c>
      <c r="D115" s="5" t="s">
        <v>15</v>
      </c>
      <c r="E115" s="5" t="s">
        <v>16</v>
      </c>
      <c r="F115" s="5" t="s">
        <v>17</v>
      </c>
      <c r="G115" s="5" t="s">
        <v>18</v>
      </c>
      <c r="H115" s="3" t="s">
        <v>48</v>
      </c>
      <c r="I115" s="3"/>
      <c r="J115" s="3"/>
      <c r="K115" s="5" t="s">
        <v>23</v>
      </c>
      <c r="L115" s="5">
        <v>5.5</v>
      </c>
      <c r="M115" s="2" t="s">
        <v>422</v>
      </c>
    </row>
    <row r="116" spans="1:13" x14ac:dyDescent="0.25">
      <c r="A116" s="5" t="str">
        <f>"3073781119701"</f>
        <v>3073781119701</v>
      </c>
      <c r="B116" s="2" t="s">
        <v>423</v>
      </c>
      <c r="C116" s="2" t="s">
        <v>424</v>
      </c>
      <c r="D116" s="5" t="s">
        <v>15</v>
      </c>
      <c r="E116" s="5" t="s">
        <v>16</v>
      </c>
      <c r="F116" s="5" t="s">
        <v>17</v>
      </c>
      <c r="G116" s="5" t="s">
        <v>18</v>
      </c>
      <c r="H116" s="3" t="s">
        <v>425</v>
      </c>
      <c r="I116" s="3" t="s">
        <v>426</v>
      </c>
      <c r="J116" s="3" t="s">
        <v>427</v>
      </c>
      <c r="K116" s="5" t="s">
        <v>23</v>
      </c>
      <c r="L116" s="5">
        <v>18.5</v>
      </c>
      <c r="M116" s="2" t="s">
        <v>428</v>
      </c>
    </row>
    <row r="117" spans="1:13" x14ac:dyDescent="0.25">
      <c r="A117" s="5" t="str">
        <f>"6281007036078"</f>
        <v>6281007036078</v>
      </c>
      <c r="B117" s="2" t="s">
        <v>429</v>
      </c>
      <c r="C117" s="2" t="s">
        <v>430</v>
      </c>
      <c r="D117" s="5" t="s">
        <v>15</v>
      </c>
      <c r="E117" s="5" t="s">
        <v>16</v>
      </c>
      <c r="F117" s="5" t="s">
        <v>17</v>
      </c>
      <c r="G117" s="5" t="s">
        <v>18</v>
      </c>
      <c r="H117" s="3" t="s">
        <v>32</v>
      </c>
      <c r="I117" s="3" t="s">
        <v>33</v>
      </c>
      <c r="J117" s="3" t="s">
        <v>431</v>
      </c>
      <c r="K117" s="5" t="s">
        <v>23</v>
      </c>
      <c r="L117" s="5">
        <v>11.25</v>
      </c>
      <c r="M117" s="2" t="s">
        <v>432</v>
      </c>
    </row>
    <row r="118" spans="1:13" x14ac:dyDescent="0.25">
      <c r="A118" s="5" t="str">
        <f>"6281007046244"</f>
        <v>6281007046244</v>
      </c>
      <c r="B118" s="2" t="s">
        <v>433</v>
      </c>
      <c r="C118" s="2" t="s">
        <v>434</v>
      </c>
      <c r="D118" s="5" t="s">
        <v>15</v>
      </c>
      <c r="E118" s="5" t="s">
        <v>16</v>
      </c>
      <c r="F118" s="5" t="s">
        <v>17</v>
      </c>
      <c r="G118" s="5" t="s">
        <v>18</v>
      </c>
      <c r="H118" s="3" t="s">
        <v>32</v>
      </c>
      <c r="I118" s="3"/>
      <c r="J118" s="3"/>
      <c r="K118" s="5" t="s">
        <v>23</v>
      </c>
      <c r="L118" s="5">
        <v>26.95</v>
      </c>
      <c r="M118" s="2" t="s">
        <v>435</v>
      </c>
    </row>
    <row r="119" spans="1:13" x14ac:dyDescent="0.25">
      <c r="A119" s="5" t="str">
        <f>"6287004520343"</f>
        <v>6287004520343</v>
      </c>
      <c r="B119" s="2" t="s">
        <v>436</v>
      </c>
      <c r="C119" s="2" t="s">
        <v>437</v>
      </c>
      <c r="D119" s="5" t="s">
        <v>15</v>
      </c>
      <c r="E119" s="5" t="s">
        <v>16</v>
      </c>
      <c r="F119" s="5" t="s">
        <v>17</v>
      </c>
      <c r="G119" s="5" t="s">
        <v>18</v>
      </c>
      <c r="H119" s="3" t="s">
        <v>48</v>
      </c>
      <c r="I119" s="3"/>
      <c r="J119" s="3"/>
      <c r="K119" s="5" t="s">
        <v>23</v>
      </c>
      <c r="L119" s="5">
        <v>17.25</v>
      </c>
      <c r="M119" s="2" t="s">
        <v>438</v>
      </c>
    </row>
    <row r="120" spans="1:13" x14ac:dyDescent="0.25">
      <c r="A120" s="5" t="str">
        <f>"3560070179886"</f>
        <v>3560070179886</v>
      </c>
      <c r="B120" s="2" t="s">
        <v>439</v>
      </c>
      <c r="C120" s="2" t="s">
        <v>440</v>
      </c>
      <c r="D120" s="5" t="s">
        <v>15</v>
      </c>
      <c r="E120" s="5" t="s">
        <v>16</v>
      </c>
      <c r="F120" s="5" t="s">
        <v>17</v>
      </c>
      <c r="G120" s="5" t="s">
        <v>18</v>
      </c>
      <c r="H120" s="3" t="s">
        <v>165</v>
      </c>
      <c r="I120" s="3"/>
      <c r="J120" s="3"/>
      <c r="K120" s="5" t="s">
        <v>23</v>
      </c>
      <c r="L120" s="5">
        <v>36.950000000000003</v>
      </c>
      <c r="M120" s="2" t="s">
        <v>441</v>
      </c>
    </row>
    <row r="121" spans="1:13" x14ac:dyDescent="0.25">
      <c r="A121" s="5" t="str">
        <f>"2140407000000"</f>
        <v>2140407000000</v>
      </c>
      <c r="B121" s="2" t="s">
        <v>442</v>
      </c>
      <c r="C121" s="2" t="s">
        <v>443</v>
      </c>
      <c r="D121" s="5" t="s">
        <v>15</v>
      </c>
      <c r="E121" s="5" t="s">
        <v>16</v>
      </c>
      <c r="F121" s="5" t="s">
        <v>17</v>
      </c>
      <c r="G121" s="5" t="s">
        <v>18</v>
      </c>
      <c r="H121" s="3"/>
      <c r="I121" s="3"/>
      <c r="J121" s="3"/>
      <c r="K121" s="5" t="s">
        <v>19</v>
      </c>
      <c r="L121" s="5">
        <v>76.95</v>
      </c>
      <c r="M121" s="2" t="s">
        <v>444</v>
      </c>
    </row>
    <row r="122" spans="1:13" x14ac:dyDescent="0.25">
      <c r="A122" s="5" t="str">
        <f>"6281048108352"</f>
        <v>6281048108352</v>
      </c>
      <c r="B122" s="2" t="s">
        <v>445</v>
      </c>
      <c r="C122" s="2" t="s">
        <v>446</v>
      </c>
      <c r="D122" s="5" t="s">
        <v>15</v>
      </c>
      <c r="E122" s="5" t="s">
        <v>16</v>
      </c>
      <c r="F122" s="5" t="s">
        <v>17</v>
      </c>
      <c r="G122" s="5" t="s">
        <v>18</v>
      </c>
      <c r="H122" s="3" t="s">
        <v>27</v>
      </c>
      <c r="I122" s="3" t="s">
        <v>153</v>
      </c>
      <c r="J122" s="3" t="s">
        <v>354</v>
      </c>
      <c r="K122" s="5" t="s">
        <v>23</v>
      </c>
      <c r="L122" s="5">
        <v>7.95</v>
      </c>
      <c r="M122" s="2" t="s">
        <v>447</v>
      </c>
    </row>
    <row r="123" spans="1:13" x14ac:dyDescent="0.25">
      <c r="A123" s="5" t="str">
        <f>"6281022110227"</f>
        <v>6281022110227</v>
      </c>
      <c r="B123" s="2" t="s">
        <v>448</v>
      </c>
      <c r="C123" s="2" t="s">
        <v>449</v>
      </c>
      <c r="D123" s="5" t="s">
        <v>15</v>
      </c>
      <c r="E123" s="5" t="s">
        <v>16</v>
      </c>
      <c r="F123" s="5" t="s">
        <v>17</v>
      </c>
      <c r="G123" s="5" t="s">
        <v>18</v>
      </c>
      <c r="H123" s="3"/>
      <c r="I123" s="3"/>
      <c r="J123" s="3" t="s">
        <v>79</v>
      </c>
      <c r="K123" s="5" t="s">
        <v>23</v>
      </c>
      <c r="L123" s="5">
        <v>11</v>
      </c>
      <c r="M123" s="2" t="s">
        <v>450</v>
      </c>
    </row>
    <row r="124" spans="1:13" x14ac:dyDescent="0.25">
      <c r="A124" s="5" t="str">
        <f>"6281057007318"</f>
        <v>6281057007318</v>
      </c>
      <c r="B124" s="2" t="s">
        <v>451</v>
      </c>
      <c r="C124" s="2" t="s">
        <v>452</v>
      </c>
      <c r="D124" s="5" t="s">
        <v>15</v>
      </c>
      <c r="E124" s="5" t="s">
        <v>16</v>
      </c>
      <c r="F124" s="5" t="s">
        <v>17</v>
      </c>
      <c r="G124" s="5" t="s">
        <v>18</v>
      </c>
      <c r="H124" s="3" t="s">
        <v>44</v>
      </c>
      <c r="I124" s="3"/>
      <c r="J124" s="3"/>
      <c r="K124" s="5" t="s">
        <v>23</v>
      </c>
      <c r="L124" s="5">
        <v>17</v>
      </c>
      <c r="M124" s="2" t="s">
        <v>453</v>
      </c>
    </row>
    <row r="125" spans="1:13" x14ac:dyDescent="0.25">
      <c r="A125" s="5" t="str">
        <f>"3245412730764"</f>
        <v>3245412730764</v>
      </c>
      <c r="B125" s="2" t="s">
        <v>454</v>
      </c>
      <c r="C125" s="2" t="s">
        <v>455</v>
      </c>
      <c r="D125" s="5" t="s">
        <v>15</v>
      </c>
      <c r="E125" s="5" t="s">
        <v>16</v>
      </c>
      <c r="F125" s="5" t="s">
        <v>17</v>
      </c>
      <c r="G125" s="5" t="s">
        <v>18</v>
      </c>
      <c r="H125" s="3" t="s">
        <v>165</v>
      </c>
      <c r="I125" s="3" t="s">
        <v>108</v>
      </c>
      <c r="J125" s="3" t="s">
        <v>456</v>
      </c>
      <c r="K125" s="5" t="s">
        <v>23</v>
      </c>
      <c r="L125" s="5">
        <v>27.95</v>
      </c>
      <c r="M125" s="2" t="s">
        <v>457</v>
      </c>
    </row>
    <row r="126" spans="1:13" x14ac:dyDescent="0.25">
      <c r="A126" s="5" t="str">
        <f>"6281039100914"</f>
        <v>6281039100914</v>
      </c>
      <c r="B126" s="2" t="s">
        <v>458</v>
      </c>
      <c r="C126" s="2" t="s">
        <v>459</v>
      </c>
      <c r="D126" s="5" t="s">
        <v>15</v>
      </c>
      <c r="E126" s="5" t="s">
        <v>16</v>
      </c>
      <c r="F126" s="5" t="s">
        <v>17</v>
      </c>
      <c r="G126" s="5" t="s">
        <v>18</v>
      </c>
      <c r="H126" s="3" t="s">
        <v>146</v>
      </c>
      <c r="I126" s="3"/>
      <c r="J126" s="3"/>
      <c r="K126" s="5" t="s">
        <v>23</v>
      </c>
      <c r="L126" s="5">
        <v>12.25</v>
      </c>
      <c r="M126" s="2" t="s">
        <v>460</v>
      </c>
    </row>
    <row r="127" spans="1:13" x14ac:dyDescent="0.25">
      <c r="A127" s="5" t="str">
        <f>"3245412730917"</f>
        <v>3245412730917</v>
      </c>
      <c r="B127" s="2" t="s">
        <v>461</v>
      </c>
      <c r="C127" s="2" t="s">
        <v>462</v>
      </c>
      <c r="D127" s="5" t="s">
        <v>15</v>
      </c>
      <c r="E127" s="5" t="s">
        <v>16</v>
      </c>
      <c r="F127" s="5" t="s">
        <v>17</v>
      </c>
      <c r="G127" s="5" t="s">
        <v>18</v>
      </c>
      <c r="H127" s="3" t="s">
        <v>165</v>
      </c>
      <c r="I127" s="3" t="s">
        <v>108</v>
      </c>
      <c r="J127" s="3" t="s">
        <v>166</v>
      </c>
      <c r="K127" s="5" t="s">
        <v>23</v>
      </c>
      <c r="L127" s="5">
        <v>18.95</v>
      </c>
      <c r="M127" s="2" t="s">
        <v>463</v>
      </c>
    </row>
    <row r="128" spans="1:13" x14ac:dyDescent="0.25">
      <c r="A128" s="5" t="str">
        <f>"6281100502494"</f>
        <v>6281100502494</v>
      </c>
      <c r="B128" s="2" t="s">
        <v>464</v>
      </c>
      <c r="C128" s="2" t="s">
        <v>465</v>
      </c>
      <c r="D128" s="5" t="s">
        <v>15</v>
      </c>
      <c r="E128" s="5" t="s">
        <v>16</v>
      </c>
      <c r="F128" s="5" t="s">
        <v>17</v>
      </c>
      <c r="G128" s="5" t="s">
        <v>18</v>
      </c>
      <c r="H128" s="3" t="s">
        <v>466</v>
      </c>
      <c r="I128" s="3"/>
      <c r="J128" s="3"/>
      <c r="K128" s="5" t="s">
        <v>23</v>
      </c>
      <c r="L128" s="5">
        <v>15.75</v>
      </c>
      <c r="M128" s="2" t="s">
        <v>467</v>
      </c>
    </row>
    <row r="129" spans="1:13" x14ac:dyDescent="0.25">
      <c r="A129" s="5" t="str">
        <f>"2141015000000"</f>
        <v>2141015000000</v>
      </c>
      <c r="B129" s="2" t="s">
        <v>468</v>
      </c>
      <c r="C129" s="2" t="s">
        <v>469</v>
      </c>
      <c r="D129" s="5" t="s">
        <v>15</v>
      </c>
      <c r="E129" s="5" t="s">
        <v>16</v>
      </c>
      <c r="F129" s="5" t="s">
        <v>17</v>
      </c>
      <c r="G129" s="5" t="s">
        <v>18</v>
      </c>
      <c r="H129" s="3"/>
      <c r="I129" s="3"/>
      <c r="J129" s="3"/>
      <c r="K129" s="5" t="s">
        <v>19</v>
      </c>
      <c r="L129" s="5">
        <v>13.95</v>
      </c>
      <c r="M129" s="2" t="s">
        <v>470</v>
      </c>
    </row>
    <row r="130" spans="1:13" x14ac:dyDescent="0.25">
      <c r="A130" s="5" t="str">
        <f>"6281018110323"</f>
        <v>6281018110323</v>
      </c>
      <c r="B130" s="2" t="s">
        <v>471</v>
      </c>
      <c r="C130" s="2" t="s">
        <v>472</v>
      </c>
      <c r="D130" s="5" t="s">
        <v>15</v>
      </c>
      <c r="E130" s="5" t="s">
        <v>16</v>
      </c>
      <c r="F130" s="5" t="s">
        <v>17</v>
      </c>
      <c r="G130" s="5" t="s">
        <v>18</v>
      </c>
      <c r="H130" s="3" t="s">
        <v>67</v>
      </c>
      <c r="I130" s="3"/>
      <c r="J130" s="3"/>
      <c r="K130" s="5" t="s">
        <v>23</v>
      </c>
      <c r="L130" s="5">
        <v>14.5</v>
      </c>
      <c r="M130" s="2" t="s">
        <v>473</v>
      </c>
    </row>
    <row r="131" spans="1:13" x14ac:dyDescent="0.25">
      <c r="A131" s="5" t="str">
        <f>"3560070971572"</f>
        <v>3560070971572</v>
      </c>
      <c r="B131" s="2" t="s">
        <v>474</v>
      </c>
      <c r="C131" s="2" t="s">
        <v>475</v>
      </c>
      <c r="D131" s="5" t="s">
        <v>15</v>
      </c>
      <c r="E131" s="5" t="s">
        <v>16</v>
      </c>
      <c r="F131" s="5" t="s">
        <v>17</v>
      </c>
      <c r="G131" s="5" t="s">
        <v>18</v>
      </c>
      <c r="H131" s="3" t="s">
        <v>165</v>
      </c>
      <c r="I131" s="3" t="s">
        <v>108</v>
      </c>
      <c r="J131" s="3" t="s">
        <v>476</v>
      </c>
      <c r="K131" s="5" t="s">
        <v>23</v>
      </c>
      <c r="L131" s="5">
        <v>29.95</v>
      </c>
      <c r="M131" s="2" t="s">
        <v>477</v>
      </c>
    </row>
    <row r="132" spans="1:13" x14ac:dyDescent="0.25">
      <c r="A132" s="5" t="str">
        <f>"6287004520428"</f>
        <v>6287004520428</v>
      </c>
      <c r="B132" s="2" t="s">
        <v>478</v>
      </c>
      <c r="C132" s="2" t="s">
        <v>479</v>
      </c>
      <c r="D132" s="5" t="s">
        <v>15</v>
      </c>
      <c r="E132" s="5" t="s">
        <v>16</v>
      </c>
      <c r="F132" s="5" t="s">
        <v>17</v>
      </c>
      <c r="G132" s="5" t="s">
        <v>18</v>
      </c>
      <c r="H132" s="3" t="s">
        <v>48</v>
      </c>
      <c r="I132" s="3"/>
      <c r="J132" s="3" t="s">
        <v>480</v>
      </c>
      <c r="K132" s="5" t="s">
        <v>23</v>
      </c>
      <c r="L132" s="5">
        <v>27.25</v>
      </c>
      <c r="M132" s="2" t="s">
        <v>481</v>
      </c>
    </row>
    <row r="133" spans="1:13" x14ac:dyDescent="0.25">
      <c r="A133" s="5" t="str">
        <f>"6084012090703"</f>
        <v>6084012090703</v>
      </c>
      <c r="B133" s="2" t="s">
        <v>482</v>
      </c>
      <c r="C133" s="2" t="s">
        <v>483</v>
      </c>
      <c r="D133" s="5" t="s">
        <v>15</v>
      </c>
      <c r="E133" s="5" t="s">
        <v>16</v>
      </c>
      <c r="F133" s="5" t="s">
        <v>17</v>
      </c>
      <c r="G133" s="5" t="s">
        <v>18</v>
      </c>
      <c r="H133" s="3" t="s">
        <v>206</v>
      </c>
      <c r="I133" s="3"/>
      <c r="J133" s="3"/>
      <c r="K133" s="5" t="s">
        <v>23</v>
      </c>
      <c r="L133" s="5">
        <v>28.95</v>
      </c>
      <c r="M133" s="2" t="s">
        <v>484</v>
      </c>
    </row>
    <row r="134" spans="1:13" x14ac:dyDescent="0.25">
      <c r="A134" s="5" t="str">
        <f>"6281007184489"</f>
        <v>6281007184489</v>
      </c>
      <c r="B134" s="2" t="s">
        <v>485</v>
      </c>
      <c r="C134" s="2" t="s">
        <v>486</v>
      </c>
      <c r="D134" s="5" t="s">
        <v>15</v>
      </c>
      <c r="E134" s="5" t="s">
        <v>16</v>
      </c>
      <c r="F134" s="5" t="s">
        <v>17</v>
      </c>
      <c r="G134" s="5" t="s">
        <v>18</v>
      </c>
      <c r="H134" s="3" t="s">
        <v>32</v>
      </c>
      <c r="I134" s="3" t="s">
        <v>33</v>
      </c>
      <c r="J134" s="3" t="s">
        <v>28</v>
      </c>
      <c r="K134" s="5" t="s">
        <v>23</v>
      </c>
      <c r="L134" s="5">
        <v>12</v>
      </c>
      <c r="M134" s="2" t="s">
        <v>487</v>
      </c>
    </row>
    <row r="135" spans="1:13" x14ac:dyDescent="0.25">
      <c r="A135" s="5" t="str">
        <f>"6281057007042"</f>
        <v>6281057007042</v>
      </c>
      <c r="B135" s="2" t="s">
        <v>488</v>
      </c>
      <c r="C135" s="2" t="s">
        <v>489</v>
      </c>
      <c r="D135" s="5" t="s">
        <v>15</v>
      </c>
      <c r="E135" s="5" t="s">
        <v>16</v>
      </c>
      <c r="F135" s="5" t="s">
        <v>17</v>
      </c>
      <c r="G135" s="5" t="s">
        <v>18</v>
      </c>
      <c r="H135" s="3" t="s">
        <v>44</v>
      </c>
      <c r="I135" s="3"/>
      <c r="J135" s="3"/>
      <c r="K135" s="5" t="s">
        <v>23</v>
      </c>
      <c r="L135" s="5">
        <v>24</v>
      </c>
      <c r="M135" s="2" t="s">
        <v>490</v>
      </c>
    </row>
    <row r="136" spans="1:13" x14ac:dyDescent="0.25">
      <c r="A136" s="5" t="str">
        <f>"3270190207702"</f>
        <v>3270190207702</v>
      </c>
      <c r="B136" s="2" t="s">
        <v>491</v>
      </c>
      <c r="C136" s="2" t="s">
        <v>492</v>
      </c>
      <c r="D136" s="5" t="s">
        <v>15</v>
      </c>
      <c r="E136" s="5" t="s">
        <v>16</v>
      </c>
      <c r="F136" s="5" t="s">
        <v>17</v>
      </c>
      <c r="G136" s="5" t="s">
        <v>18</v>
      </c>
      <c r="H136" s="3" t="s">
        <v>165</v>
      </c>
      <c r="I136" s="3" t="s">
        <v>108</v>
      </c>
      <c r="J136" s="3" t="s">
        <v>109</v>
      </c>
      <c r="K136" s="5" t="s">
        <v>23</v>
      </c>
      <c r="L136" s="5">
        <v>80.95</v>
      </c>
      <c r="M136" s="2" t="s">
        <v>493</v>
      </c>
    </row>
    <row r="137" spans="1:13" x14ac:dyDescent="0.25">
      <c r="A137" s="5" t="str">
        <f>"3560070506491"</f>
        <v>3560070506491</v>
      </c>
      <c r="B137" s="2" t="s">
        <v>494</v>
      </c>
      <c r="C137" s="2" t="s">
        <v>495</v>
      </c>
      <c r="D137" s="5" t="s">
        <v>15</v>
      </c>
      <c r="E137" s="5" t="s">
        <v>16</v>
      </c>
      <c r="F137" s="5" t="s">
        <v>17</v>
      </c>
      <c r="G137" s="5" t="s">
        <v>18</v>
      </c>
      <c r="H137" s="3" t="s">
        <v>165</v>
      </c>
      <c r="I137" s="3"/>
      <c r="J137" s="3"/>
      <c r="K137" s="5" t="s">
        <v>23</v>
      </c>
      <c r="L137" s="5">
        <v>31.95</v>
      </c>
      <c r="M137" s="2" t="s">
        <v>496</v>
      </c>
    </row>
    <row r="138" spans="1:13" x14ac:dyDescent="0.25">
      <c r="A138" s="5" t="str">
        <f>"6281022126914"</f>
        <v>6281022126914</v>
      </c>
      <c r="B138" s="2" t="s">
        <v>497</v>
      </c>
      <c r="C138" s="2" t="s">
        <v>498</v>
      </c>
      <c r="D138" s="5" t="s">
        <v>15</v>
      </c>
      <c r="E138" s="5" t="s">
        <v>16</v>
      </c>
      <c r="F138" s="5" t="s">
        <v>17</v>
      </c>
      <c r="G138" s="5" t="s">
        <v>18</v>
      </c>
      <c r="H138" s="3" t="s">
        <v>59</v>
      </c>
      <c r="I138" s="3"/>
      <c r="J138" s="3" t="s">
        <v>371</v>
      </c>
      <c r="K138" s="5" t="s">
        <v>23</v>
      </c>
      <c r="L138" s="5">
        <v>5.95</v>
      </c>
      <c r="M138" s="2" t="s">
        <v>499</v>
      </c>
    </row>
    <row r="139" spans="1:13" x14ac:dyDescent="0.25">
      <c r="A139" s="5" t="str">
        <f>"5290036001057"</f>
        <v>5290036001057</v>
      </c>
      <c r="B139" s="2" t="s">
        <v>500</v>
      </c>
      <c r="C139" s="2" t="s">
        <v>501</v>
      </c>
      <c r="D139" s="5" t="s">
        <v>15</v>
      </c>
      <c r="E139" s="5" t="s">
        <v>16</v>
      </c>
      <c r="F139" s="5" t="s">
        <v>17</v>
      </c>
      <c r="G139" s="5" t="s">
        <v>18</v>
      </c>
      <c r="H139" s="3" t="s">
        <v>502</v>
      </c>
      <c r="I139" s="3"/>
      <c r="J139" s="3"/>
      <c r="K139" s="5" t="s">
        <v>23</v>
      </c>
      <c r="L139" s="5">
        <v>19.95</v>
      </c>
      <c r="M139" s="2" t="s">
        <v>503</v>
      </c>
    </row>
    <row r="140" spans="1:13" x14ac:dyDescent="0.25">
      <c r="A140" s="5" t="str">
        <f>"6281024116173"</f>
        <v>6281024116173</v>
      </c>
      <c r="B140" s="2" t="s">
        <v>504</v>
      </c>
      <c r="C140" s="2" t="s">
        <v>505</v>
      </c>
      <c r="D140" s="5" t="s">
        <v>15</v>
      </c>
      <c r="E140" s="5" t="s">
        <v>16</v>
      </c>
      <c r="F140" s="5" t="s">
        <v>17</v>
      </c>
      <c r="G140" s="5" t="s">
        <v>18</v>
      </c>
      <c r="H140" s="3" t="s">
        <v>107</v>
      </c>
      <c r="I140" s="3"/>
      <c r="J140" s="3"/>
      <c r="K140" s="5" t="s">
        <v>23</v>
      </c>
      <c r="L140" s="5">
        <v>35.5</v>
      </c>
      <c r="M140" s="2" t="s">
        <v>506</v>
      </c>
    </row>
    <row r="141" spans="1:13" x14ac:dyDescent="0.25">
      <c r="A141" s="5" t="str">
        <f>"5760466747295"</f>
        <v>5760466747295</v>
      </c>
      <c r="B141" s="2" t="s">
        <v>507</v>
      </c>
      <c r="C141" s="2" t="s">
        <v>508</v>
      </c>
      <c r="D141" s="5" t="s">
        <v>15</v>
      </c>
      <c r="E141" s="5" t="s">
        <v>16</v>
      </c>
      <c r="F141" s="5" t="s">
        <v>17</v>
      </c>
      <c r="G141" s="5" t="s">
        <v>18</v>
      </c>
      <c r="H141" s="3" t="s">
        <v>509</v>
      </c>
      <c r="I141" s="3" t="s">
        <v>174</v>
      </c>
      <c r="J141" s="3" t="s">
        <v>510</v>
      </c>
      <c r="K141" s="5" t="s">
        <v>23</v>
      </c>
      <c r="L141" s="5">
        <v>10</v>
      </c>
      <c r="M141" s="2" t="s">
        <v>511</v>
      </c>
    </row>
    <row r="142" spans="1:13" x14ac:dyDescent="0.25">
      <c r="A142" s="5" t="str">
        <f>"6281048103173"</f>
        <v>6281048103173</v>
      </c>
      <c r="B142" s="2" t="s">
        <v>512</v>
      </c>
      <c r="C142" s="2" t="s">
        <v>513</v>
      </c>
      <c r="D142" s="5" t="s">
        <v>15</v>
      </c>
      <c r="E142" s="5" t="s">
        <v>16</v>
      </c>
      <c r="F142" s="5" t="s">
        <v>17</v>
      </c>
      <c r="G142" s="5" t="s">
        <v>18</v>
      </c>
      <c r="H142" s="3" t="s">
        <v>27</v>
      </c>
      <c r="I142" s="3"/>
      <c r="J142" s="3" t="s">
        <v>510</v>
      </c>
      <c r="K142" s="5" t="s">
        <v>23</v>
      </c>
      <c r="L142" s="5">
        <v>23.5</v>
      </c>
      <c r="M142" s="2" t="s">
        <v>514</v>
      </c>
    </row>
    <row r="143" spans="1:13" x14ac:dyDescent="0.25">
      <c r="A143" s="5" t="str">
        <f>"2142360000004"</f>
        <v>2142360000004</v>
      </c>
      <c r="B143" s="2" t="s">
        <v>515</v>
      </c>
      <c r="C143" s="2" t="s">
        <v>516</v>
      </c>
      <c r="D143" s="5" t="s">
        <v>15</v>
      </c>
      <c r="E143" s="5" t="s">
        <v>16</v>
      </c>
      <c r="F143" s="5" t="s">
        <v>17</v>
      </c>
      <c r="G143" s="5" t="s">
        <v>18</v>
      </c>
      <c r="H143" s="3"/>
      <c r="I143" s="3"/>
      <c r="J143" s="3"/>
      <c r="K143" s="5" t="s">
        <v>19</v>
      </c>
      <c r="L143" s="5">
        <v>43.95</v>
      </c>
      <c r="M143" s="2" t="s">
        <v>517</v>
      </c>
    </row>
    <row r="144" spans="1:13" x14ac:dyDescent="0.25">
      <c r="A144" s="5" t="str">
        <f>"6281007045780"</f>
        <v>6281007045780</v>
      </c>
      <c r="B144" s="2" t="s">
        <v>518</v>
      </c>
      <c r="C144" s="2" t="s">
        <v>519</v>
      </c>
      <c r="D144" s="5" t="s">
        <v>15</v>
      </c>
      <c r="E144" s="5" t="s">
        <v>16</v>
      </c>
      <c r="F144" s="5" t="s">
        <v>17</v>
      </c>
      <c r="G144" s="5" t="s">
        <v>18</v>
      </c>
      <c r="H144" s="3" t="s">
        <v>32</v>
      </c>
      <c r="I144" s="3" t="s">
        <v>33</v>
      </c>
      <c r="J144" s="3" t="s">
        <v>371</v>
      </c>
      <c r="K144" s="5" t="s">
        <v>23</v>
      </c>
      <c r="L144" s="5">
        <v>6.25</v>
      </c>
      <c r="M144" s="2" t="s">
        <v>520</v>
      </c>
    </row>
    <row r="145" spans="1:13" x14ac:dyDescent="0.25">
      <c r="A145" s="5" t="str">
        <f>"3560071016944"</f>
        <v>3560071016944</v>
      </c>
      <c r="B145" s="2" t="s">
        <v>521</v>
      </c>
      <c r="C145" s="2" t="s">
        <v>522</v>
      </c>
      <c r="D145" s="5" t="s">
        <v>15</v>
      </c>
      <c r="E145" s="5" t="s">
        <v>16</v>
      </c>
      <c r="F145" s="5" t="s">
        <v>17</v>
      </c>
      <c r="G145" s="5" t="s">
        <v>18</v>
      </c>
      <c r="H145" s="3" t="s">
        <v>165</v>
      </c>
      <c r="I145" s="3" t="s">
        <v>108</v>
      </c>
      <c r="J145" s="3" t="s">
        <v>523</v>
      </c>
      <c r="K145" s="5" t="s">
        <v>23</v>
      </c>
      <c r="L145" s="5">
        <v>15.95</v>
      </c>
      <c r="M145" s="2" t="s">
        <v>524</v>
      </c>
    </row>
    <row r="146" spans="1:13" x14ac:dyDescent="0.25">
      <c r="A146" s="5" t="str">
        <f>"3245412730924"</f>
        <v>3245412730924</v>
      </c>
      <c r="B146" s="2" t="s">
        <v>525</v>
      </c>
      <c r="C146" s="2" t="s">
        <v>526</v>
      </c>
      <c r="D146" s="5" t="s">
        <v>15</v>
      </c>
      <c r="E146" s="5" t="s">
        <v>16</v>
      </c>
      <c r="F146" s="5" t="s">
        <v>17</v>
      </c>
      <c r="G146" s="5" t="s">
        <v>18</v>
      </c>
      <c r="H146" s="3" t="s">
        <v>165</v>
      </c>
      <c r="I146" s="3" t="s">
        <v>108</v>
      </c>
      <c r="J146" s="3" t="s">
        <v>238</v>
      </c>
      <c r="K146" s="5" t="s">
        <v>23</v>
      </c>
      <c r="L146" s="5">
        <v>18.95</v>
      </c>
      <c r="M146" s="2" t="s">
        <v>527</v>
      </c>
    </row>
    <row r="147" spans="1:13" x14ac:dyDescent="0.25">
      <c r="A147" s="5" t="str">
        <f>"5711953040641"</f>
        <v>5711953040641</v>
      </c>
      <c r="B147" s="2" t="s">
        <v>528</v>
      </c>
      <c r="C147" s="2" t="s">
        <v>529</v>
      </c>
      <c r="D147" s="5" t="s">
        <v>15</v>
      </c>
      <c r="E147" s="5" t="s">
        <v>16</v>
      </c>
      <c r="F147" s="5" t="s">
        <v>17</v>
      </c>
      <c r="G147" s="5" t="s">
        <v>18</v>
      </c>
      <c r="H147" s="3" t="s">
        <v>27</v>
      </c>
      <c r="I147" s="3"/>
      <c r="J147" s="3"/>
      <c r="K147" s="5" t="s">
        <v>23</v>
      </c>
      <c r="L147" s="5">
        <v>16.95</v>
      </c>
      <c r="M147" s="2" t="s">
        <v>530</v>
      </c>
    </row>
    <row r="148" spans="1:13" x14ac:dyDescent="0.25">
      <c r="A148" s="5" t="str">
        <f>"6281051002241"</f>
        <v>6281051002241</v>
      </c>
      <c r="B148" s="2" t="s">
        <v>531</v>
      </c>
      <c r="C148" s="2" t="s">
        <v>532</v>
      </c>
      <c r="D148" s="5" t="s">
        <v>15</v>
      </c>
      <c r="E148" s="5" t="s">
        <v>16</v>
      </c>
      <c r="F148" s="5" t="s">
        <v>17</v>
      </c>
      <c r="G148" s="5" t="s">
        <v>18</v>
      </c>
      <c r="H148" s="3" t="s">
        <v>83</v>
      </c>
      <c r="I148" s="3"/>
      <c r="J148" s="3" t="s">
        <v>392</v>
      </c>
      <c r="K148" s="5" t="s">
        <v>23</v>
      </c>
      <c r="L148" s="5">
        <v>44.75</v>
      </c>
      <c r="M148" s="2" t="s">
        <v>533</v>
      </c>
    </row>
    <row r="149" spans="1:13" x14ac:dyDescent="0.25">
      <c r="A149" s="5" t="str">
        <f>"3560070514786"</f>
        <v>3560070514786</v>
      </c>
      <c r="B149" s="2" t="s">
        <v>534</v>
      </c>
      <c r="C149" s="2" t="s">
        <v>535</v>
      </c>
      <c r="D149" s="5" t="s">
        <v>15</v>
      </c>
      <c r="E149" s="5" t="s">
        <v>16</v>
      </c>
      <c r="F149" s="5" t="s">
        <v>17</v>
      </c>
      <c r="G149" s="5" t="s">
        <v>18</v>
      </c>
      <c r="H149" s="3" t="s">
        <v>165</v>
      </c>
      <c r="I149" s="3" t="s">
        <v>108</v>
      </c>
      <c r="J149" s="3" t="s">
        <v>28</v>
      </c>
      <c r="K149" s="5" t="s">
        <v>23</v>
      </c>
      <c r="L149" s="5">
        <v>62.95</v>
      </c>
      <c r="M149" s="2" t="s">
        <v>536</v>
      </c>
    </row>
    <row r="150" spans="1:13" x14ac:dyDescent="0.25">
      <c r="A150" s="5" t="str">
        <f>"6297000670966"</f>
        <v>6297000670966</v>
      </c>
      <c r="B150" s="2" t="s">
        <v>537</v>
      </c>
      <c r="C150" s="2" t="s">
        <v>538</v>
      </c>
      <c r="D150" s="5" t="s">
        <v>15</v>
      </c>
      <c r="E150" s="5" t="s">
        <v>16</v>
      </c>
      <c r="F150" s="5" t="s">
        <v>17</v>
      </c>
      <c r="G150" s="5" t="s">
        <v>18</v>
      </c>
      <c r="H150" s="3" t="s">
        <v>539</v>
      </c>
      <c r="I150" s="3"/>
      <c r="J150" s="3" t="s">
        <v>540</v>
      </c>
      <c r="K150" s="5" t="s">
        <v>23</v>
      </c>
      <c r="L150" s="5">
        <v>15</v>
      </c>
      <c r="M150" s="2" t="s">
        <v>541</v>
      </c>
    </row>
    <row r="151" spans="1:13" x14ac:dyDescent="0.25">
      <c r="A151" s="5" t="str">
        <f>"3560070554331"</f>
        <v>3560070554331</v>
      </c>
      <c r="B151" s="2" t="s">
        <v>542</v>
      </c>
      <c r="C151" s="2" t="s">
        <v>543</v>
      </c>
      <c r="D151" s="5" t="s">
        <v>15</v>
      </c>
      <c r="E151" s="5" t="s">
        <v>16</v>
      </c>
      <c r="F151" s="5" t="s">
        <v>17</v>
      </c>
      <c r="G151" s="5" t="s">
        <v>18</v>
      </c>
      <c r="H151" s="3" t="s">
        <v>165</v>
      </c>
      <c r="I151" s="3"/>
      <c r="J151" s="3" t="s">
        <v>28</v>
      </c>
      <c r="K151" s="5" t="s">
        <v>23</v>
      </c>
      <c r="L151" s="5">
        <v>44.95</v>
      </c>
      <c r="M151" s="2" t="s">
        <v>544</v>
      </c>
    </row>
    <row r="152" spans="1:13" x14ac:dyDescent="0.25">
      <c r="A152" s="5" t="str">
        <f>"3560070148752"</f>
        <v>3560070148752</v>
      </c>
      <c r="B152" s="2" t="s">
        <v>545</v>
      </c>
      <c r="C152" s="2" t="s">
        <v>546</v>
      </c>
      <c r="D152" s="5" t="s">
        <v>15</v>
      </c>
      <c r="E152" s="5" t="s">
        <v>16</v>
      </c>
      <c r="F152" s="5" t="s">
        <v>17</v>
      </c>
      <c r="G152" s="5" t="s">
        <v>18</v>
      </c>
      <c r="H152" s="3" t="s">
        <v>165</v>
      </c>
      <c r="I152" s="3"/>
      <c r="J152" s="3"/>
      <c r="K152" s="5" t="s">
        <v>23</v>
      </c>
      <c r="L152" s="5">
        <v>32.950000000000003</v>
      </c>
      <c r="M152" s="2" t="s">
        <v>547</v>
      </c>
    </row>
    <row r="153" spans="1:13" x14ac:dyDescent="0.25">
      <c r="A153" s="5" t="str">
        <f>"6281007061759"</f>
        <v>6281007061759</v>
      </c>
      <c r="B153" s="2" t="s">
        <v>548</v>
      </c>
      <c r="C153" s="2" t="s">
        <v>549</v>
      </c>
      <c r="D153" s="5" t="s">
        <v>15</v>
      </c>
      <c r="E153" s="5" t="s">
        <v>16</v>
      </c>
      <c r="F153" s="5" t="s">
        <v>17</v>
      </c>
      <c r="G153" s="5" t="s">
        <v>18</v>
      </c>
      <c r="H153" s="3" t="s">
        <v>32</v>
      </c>
      <c r="I153" s="3"/>
      <c r="J153" s="3" t="s">
        <v>550</v>
      </c>
      <c r="K153" s="5" t="s">
        <v>23</v>
      </c>
      <c r="L153" s="5">
        <v>12.95</v>
      </c>
      <c r="M153" s="2" t="s">
        <v>551</v>
      </c>
    </row>
    <row r="154" spans="1:13" x14ac:dyDescent="0.25">
      <c r="A154" s="5" t="str">
        <f>"6281057062614"</f>
        <v>6281057062614</v>
      </c>
      <c r="B154" s="2" t="s">
        <v>552</v>
      </c>
      <c r="C154" s="2" t="s">
        <v>553</v>
      </c>
      <c r="D154" s="5" t="s">
        <v>15</v>
      </c>
      <c r="E154" s="5" t="s">
        <v>16</v>
      </c>
      <c r="F154" s="5" t="s">
        <v>17</v>
      </c>
      <c r="G154" s="5" t="s">
        <v>18</v>
      </c>
      <c r="H154" s="3" t="s">
        <v>44</v>
      </c>
      <c r="I154" s="3"/>
      <c r="J154" s="3"/>
      <c r="K154" s="5" t="s">
        <v>23</v>
      </c>
      <c r="L154" s="5">
        <v>9.75</v>
      </c>
      <c r="M154" s="2" t="s">
        <v>554</v>
      </c>
    </row>
    <row r="155" spans="1:13" x14ac:dyDescent="0.25">
      <c r="A155" s="5" t="str">
        <f>"5740900402867"</f>
        <v>5740900402867</v>
      </c>
      <c r="B155" s="2" t="s">
        <v>555</v>
      </c>
      <c r="C155" s="2" t="s">
        <v>556</v>
      </c>
      <c r="D155" s="5" t="s">
        <v>15</v>
      </c>
      <c r="E155" s="5" t="s">
        <v>16</v>
      </c>
      <c r="F155" s="5" t="s">
        <v>17</v>
      </c>
      <c r="G155" s="5" t="s">
        <v>18</v>
      </c>
      <c r="H155" s="3" t="s">
        <v>173</v>
      </c>
      <c r="I155" s="3" t="s">
        <v>174</v>
      </c>
      <c r="J155" s="3" t="s">
        <v>557</v>
      </c>
      <c r="K155" s="5" t="s">
        <v>23</v>
      </c>
      <c r="L155" s="5">
        <v>23.45</v>
      </c>
      <c r="M155" s="2" t="s">
        <v>558</v>
      </c>
    </row>
    <row r="156" spans="1:13" x14ac:dyDescent="0.25">
      <c r="A156" s="5" t="str">
        <f>"6281007038942"</f>
        <v>6281007038942</v>
      </c>
      <c r="B156" s="2" t="s">
        <v>559</v>
      </c>
      <c r="C156" s="2" t="s">
        <v>560</v>
      </c>
      <c r="D156" s="5" t="s">
        <v>15</v>
      </c>
      <c r="E156" s="5" t="s">
        <v>16</v>
      </c>
      <c r="F156" s="5" t="s">
        <v>17</v>
      </c>
      <c r="G156" s="5" t="s">
        <v>18</v>
      </c>
      <c r="H156" s="3" t="s">
        <v>32</v>
      </c>
      <c r="I156" s="3"/>
      <c r="J156" s="3" t="s">
        <v>561</v>
      </c>
      <c r="K156" s="5" t="s">
        <v>23</v>
      </c>
      <c r="L156" s="5">
        <v>27.25</v>
      </c>
      <c r="M156" s="2" t="s">
        <v>562</v>
      </c>
    </row>
    <row r="157" spans="1:13" x14ac:dyDescent="0.25">
      <c r="A157" s="5" t="str">
        <f>"6281007120906"</f>
        <v>6281007120906</v>
      </c>
      <c r="B157" s="2" t="s">
        <v>563</v>
      </c>
      <c r="C157" s="2" t="s">
        <v>564</v>
      </c>
      <c r="D157" s="5" t="s">
        <v>15</v>
      </c>
      <c r="E157" s="5" t="s">
        <v>16</v>
      </c>
      <c r="F157" s="5" t="s">
        <v>17</v>
      </c>
      <c r="G157" s="5" t="s">
        <v>18</v>
      </c>
      <c r="H157" s="3" t="s">
        <v>32</v>
      </c>
      <c r="I157" s="3"/>
      <c r="J157" s="3"/>
      <c r="K157" s="5" t="s">
        <v>23</v>
      </c>
      <c r="L157" s="5">
        <v>6</v>
      </c>
      <c r="M157" s="2" t="s">
        <v>565</v>
      </c>
    </row>
    <row r="158" spans="1:13" x14ac:dyDescent="0.25">
      <c r="A158" s="5" t="str">
        <f>"3245414221550"</f>
        <v>3245414221550</v>
      </c>
      <c r="B158" s="2" t="s">
        <v>566</v>
      </c>
      <c r="C158" s="2" t="s">
        <v>567</v>
      </c>
      <c r="D158" s="5" t="s">
        <v>15</v>
      </c>
      <c r="E158" s="5" t="s">
        <v>16</v>
      </c>
      <c r="F158" s="5" t="s">
        <v>17</v>
      </c>
      <c r="G158" s="5" t="s">
        <v>18</v>
      </c>
      <c r="H158" s="3" t="s">
        <v>165</v>
      </c>
      <c r="I158" s="3"/>
      <c r="J158" s="3"/>
      <c r="K158" s="5" t="s">
        <v>23</v>
      </c>
      <c r="L158" s="5">
        <v>25.95</v>
      </c>
      <c r="M158" s="2" t="s">
        <v>568</v>
      </c>
    </row>
    <row r="159" spans="1:13" x14ac:dyDescent="0.25">
      <c r="A159" s="5" t="str">
        <f>"3560070394739"</f>
        <v>3560070394739</v>
      </c>
      <c r="B159" s="2" t="s">
        <v>569</v>
      </c>
      <c r="C159" s="2" t="s">
        <v>570</v>
      </c>
      <c r="D159" s="5" t="s">
        <v>15</v>
      </c>
      <c r="E159" s="5" t="s">
        <v>16</v>
      </c>
      <c r="F159" s="5" t="s">
        <v>17</v>
      </c>
      <c r="G159" s="5" t="s">
        <v>18</v>
      </c>
      <c r="H159" s="3" t="s">
        <v>165</v>
      </c>
      <c r="I159" s="3"/>
      <c r="J159" s="3"/>
      <c r="K159" s="5" t="s">
        <v>23</v>
      </c>
      <c r="L159" s="5">
        <v>39.950000000000003</v>
      </c>
      <c r="M159" s="2" t="s">
        <v>571</v>
      </c>
    </row>
    <row r="160" spans="1:13" x14ac:dyDescent="0.25">
      <c r="A160" s="5" t="str">
        <f>"6281039172126"</f>
        <v>6281039172126</v>
      </c>
      <c r="B160" s="2" t="s">
        <v>572</v>
      </c>
      <c r="C160" s="2" t="s">
        <v>573</v>
      </c>
      <c r="D160" s="5" t="s">
        <v>15</v>
      </c>
      <c r="E160" s="5" t="s">
        <v>16</v>
      </c>
      <c r="F160" s="5" t="s">
        <v>17</v>
      </c>
      <c r="G160" s="5" t="s">
        <v>18</v>
      </c>
      <c r="H160" s="3" t="s">
        <v>146</v>
      </c>
      <c r="I160" s="3"/>
      <c r="J160" s="3"/>
      <c r="K160" s="5" t="s">
        <v>23</v>
      </c>
      <c r="L160" s="5">
        <v>31</v>
      </c>
      <c r="M160" s="2" t="s">
        <v>574</v>
      </c>
    </row>
    <row r="161" spans="1:13" x14ac:dyDescent="0.25">
      <c r="A161" s="5" t="str">
        <f>"6281007031226"</f>
        <v>6281007031226</v>
      </c>
      <c r="B161" s="2" t="s">
        <v>575</v>
      </c>
      <c r="C161" s="2" t="s">
        <v>576</v>
      </c>
      <c r="D161" s="5" t="s">
        <v>15</v>
      </c>
      <c r="E161" s="5" t="s">
        <v>16</v>
      </c>
      <c r="F161" s="5" t="s">
        <v>17</v>
      </c>
      <c r="G161" s="5" t="s">
        <v>18</v>
      </c>
      <c r="H161" s="3" t="s">
        <v>32</v>
      </c>
      <c r="I161" s="3" t="s">
        <v>33</v>
      </c>
      <c r="J161" s="3" t="s">
        <v>577</v>
      </c>
      <c r="K161" s="5" t="s">
        <v>23</v>
      </c>
      <c r="L161" s="5">
        <v>18.5</v>
      </c>
      <c r="M161" s="2" t="s">
        <v>578</v>
      </c>
    </row>
    <row r="162" spans="1:13" x14ac:dyDescent="0.25">
      <c r="A162" s="5" t="str">
        <f>"6084012090222"</f>
        <v>6084012090222</v>
      </c>
      <c r="B162" s="2" t="s">
        <v>579</v>
      </c>
      <c r="C162" s="2" t="s">
        <v>580</v>
      </c>
      <c r="D162" s="5" t="s">
        <v>15</v>
      </c>
      <c r="E162" s="5" t="s">
        <v>16</v>
      </c>
      <c r="F162" s="5" t="s">
        <v>17</v>
      </c>
      <c r="G162" s="5" t="s">
        <v>18</v>
      </c>
      <c r="H162" s="3" t="s">
        <v>206</v>
      </c>
      <c r="I162" s="3"/>
      <c r="J162" s="3"/>
      <c r="K162" s="5" t="s">
        <v>23</v>
      </c>
      <c r="L162" s="5">
        <v>25.5</v>
      </c>
      <c r="M162" s="2" t="s">
        <v>581</v>
      </c>
    </row>
    <row r="163" spans="1:13" x14ac:dyDescent="0.25">
      <c r="A163" s="5" t="str">
        <f>"3560070370344"</f>
        <v>3560070370344</v>
      </c>
      <c r="B163" s="2" t="s">
        <v>582</v>
      </c>
      <c r="C163" s="2" t="s">
        <v>583</v>
      </c>
      <c r="D163" s="5" t="s">
        <v>15</v>
      </c>
      <c r="E163" s="5" t="s">
        <v>16</v>
      </c>
      <c r="F163" s="5" t="s">
        <v>17</v>
      </c>
      <c r="G163" s="5" t="s">
        <v>18</v>
      </c>
      <c r="H163" s="3" t="s">
        <v>165</v>
      </c>
      <c r="I163" s="3"/>
      <c r="J163" s="3"/>
      <c r="K163" s="5" t="s">
        <v>23</v>
      </c>
      <c r="L163" s="5">
        <v>47.95</v>
      </c>
      <c r="M163" s="2" t="s">
        <v>584</v>
      </c>
    </row>
    <row r="164" spans="1:13" x14ac:dyDescent="0.25">
      <c r="A164" s="5" t="str">
        <f>"6281018154549"</f>
        <v>6281018154549</v>
      </c>
      <c r="B164" s="2" t="s">
        <v>585</v>
      </c>
      <c r="C164" s="2" t="s">
        <v>586</v>
      </c>
      <c r="D164" s="5" t="s">
        <v>15</v>
      </c>
      <c r="E164" s="5" t="s">
        <v>16</v>
      </c>
      <c r="F164" s="5" t="s">
        <v>17</v>
      </c>
      <c r="G164" s="5" t="s">
        <v>18</v>
      </c>
      <c r="H164" s="3" t="s">
        <v>67</v>
      </c>
      <c r="I164" s="3" t="s">
        <v>33</v>
      </c>
      <c r="J164" s="3" t="s">
        <v>587</v>
      </c>
      <c r="K164" s="5" t="s">
        <v>23</v>
      </c>
      <c r="L164" s="5">
        <v>5.95</v>
      </c>
      <c r="M164" s="2" t="s">
        <v>588</v>
      </c>
    </row>
    <row r="165" spans="1:13" x14ac:dyDescent="0.25">
      <c r="A165" s="5" t="str">
        <f>"6281022119206"</f>
        <v>6281022119206</v>
      </c>
      <c r="B165" s="2" t="s">
        <v>589</v>
      </c>
      <c r="C165" s="2" t="s">
        <v>590</v>
      </c>
      <c r="D165" s="5" t="s">
        <v>15</v>
      </c>
      <c r="E165" s="5" t="s">
        <v>16</v>
      </c>
      <c r="F165" s="5" t="s">
        <v>17</v>
      </c>
      <c r="G165" s="5" t="s">
        <v>18</v>
      </c>
      <c r="H165" s="3"/>
      <c r="I165" s="3" t="s">
        <v>33</v>
      </c>
      <c r="J165" s="3" t="s">
        <v>591</v>
      </c>
      <c r="K165" s="5" t="s">
        <v>23</v>
      </c>
      <c r="L165" s="5">
        <v>11.5</v>
      </c>
      <c r="M165" s="2" t="s">
        <v>592</v>
      </c>
    </row>
    <row r="166" spans="1:13" x14ac:dyDescent="0.25">
      <c r="A166" s="5" t="str">
        <f>"3560070168651"</f>
        <v>3560070168651</v>
      </c>
      <c r="B166" s="2" t="s">
        <v>593</v>
      </c>
      <c r="C166" s="2" t="s">
        <v>594</v>
      </c>
      <c r="D166" s="5" t="s">
        <v>15</v>
      </c>
      <c r="E166" s="5" t="s">
        <v>16</v>
      </c>
      <c r="F166" s="5" t="s">
        <v>17</v>
      </c>
      <c r="G166" s="5" t="s">
        <v>18</v>
      </c>
      <c r="H166" s="3" t="s">
        <v>165</v>
      </c>
      <c r="I166" s="3" t="s">
        <v>108</v>
      </c>
      <c r="J166" s="3" t="s">
        <v>28</v>
      </c>
      <c r="K166" s="5" t="s">
        <v>23</v>
      </c>
      <c r="L166" s="5">
        <v>35.950000000000003</v>
      </c>
      <c r="M166" s="2" t="s">
        <v>595</v>
      </c>
    </row>
    <row r="167" spans="1:13" x14ac:dyDescent="0.25">
      <c r="A167" s="5" t="str">
        <f>"3560070046775"</f>
        <v>3560070046775</v>
      </c>
      <c r="B167" s="2" t="s">
        <v>596</v>
      </c>
      <c r="C167" s="2" t="s">
        <v>597</v>
      </c>
      <c r="D167" s="5" t="s">
        <v>15</v>
      </c>
      <c r="E167" s="5" t="s">
        <v>16</v>
      </c>
      <c r="F167" s="5" t="s">
        <v>17</v>
      </c>
      <c r="G167" s="5" t="s">
        <v>18</v>
      </c>
      <c r="H167" s="3" t="s">
        <v>165</v>
      </c>
      <c r="I167" s="3" t="s">
        <v>108</v>
      </c>
      <c r="J167" s="3" t="s">
        <v>371</v>
      </c>
      <c r="K167" s="5" t="s">
        <v>23</v>
      </c>
      <c r="L167" s="5">
        <v>47.95</v>
      </c>
      <c r="M167" s="2" t="s">
        <v>598</v>
      </c>
    </row>
    <row r="168" spans="1:13" x14ac:dyDescent="0.25">
      <c r="A168" s="5" t="str">
        <f>"6281022132250"</f>
        <v>6281022132250</v>
      </c>
      <c r="B168" s="2" t="s">
        <v>599</v>
      </c>
      <c r="C168" s="2" t="s">
        <v>600</v>
      </c>
      <c r="D168" s="5" t="s">
        <v>15</v>
      </c>
      <c r="E168" s="5" t="s">
        <v>16</v>
      </c>
      <c r="F168" s="5" t="s">
        <v>17</v>
      </c>
      <c r="G168" s="5" t="s">
        <v>18</v>
      </c>
      <c r="H168" s="3"/>
      <c r="I168" s="3"/>
      <c r="J168" s="3"/>
      <c r="K168" s="5" t="s">
        <v>23</v>
      </c>
      <c r="L168" s="5">
        <v>7.75</v>
      </c>
      <c r="M168" s="2" t="s">
        <v>601</v>
      </c>
    </row>
    <row r="169" spans="1:13" x14ac:dyDescent="0.25">
      <c r="A169" s="5" t="str">
        <f>"3560070354450"</f>
        <v>3560070354450</v>
      </c>
      <c r="B169" s="2" t="s">
        <v>602</v>
      </c>
      <c r="C169" s="2" t="s">
        <v>603</v>
      </c>
      <c r="D169" s="5" t="s">
        <v>15</v>
      </c>
      <c r="E169" s="5" t="s">
        <v>16</v>
      </c>
      <c r="F169" s="5" t="s">
        <v>17</v>
      </c>
      <c r="G169" s="5" t="s">
        <v>18</v>
      </c>
      <c r="H169" s="3" t="s">
        <v>165</v>
      </c>
      <c r="I169" s="3"/>
      <c r="J169" s="3" t="s">
        <v>166</v>
      </c>
      <c r="K169" s="5" t="s">
        <v>23</v>
      </c>
      <c r="L169" s="5">
        <v>15.5</v>
      </c>
      <c r="M169" s="2" t="s">
        <v>604</v>
      </c>
    </row>
    <row r="170" spans="1:13" x14ac:dyDescent="0.25">
      <c r="A170" s="5" t="str">
        <f>"6281022160192"</f>
        <v>6281022160192</v>
      </c>
      <c r="B170" s="2" t="s">
        <v>605</v>
      </c>
      <c r="C170" s="2" t="s">
        <v>606</v>
      </c>
      <c r="D170" s="5" t="s">
        <v>15</v>
      </c>
      <c r="E170" s="5" t="s">
        <v>16</v>
      </c>
      <c r="F170" s="5" t="s">
        <v>17</v>
      </c>
      <c r="G170" s="5" t="s">
        <v>18</v>
      </c>
      <c r="H170" s="3"/>
      <c r="I170" s="3"/>
      <c r="J170" s="3"/>
      <c r="K170" s="5" t="s">
        <v>23</v>
      </c>
      <c r="L170" s="5">
        <v>7</v>
      </c>
      <c r="M170" s="2" t="s">
        <v>607</v>
      </c>
    </row>
    <row r="171" spans="1:13" x14ac:dyDescent="0.25">
      <c r="A171" s="5" t="str">
        <f>"6281057030026"</f>
        <v>6281057030026</v>
      </c>
      <c r="B171" s="2" t="s">
        <v>608</v>
      </c>
      <c r="C171" s="2" t="s">
        <v>609</v>
      </c>
      <c r="D171" s="5" t="s">
        <v>15</v>
      </c>
      <c r="E171" s="5" t="s">
        <v>16</v>
      </c>
      <c r="F171" s="5" t="s">
        <v>17</v>
      </c>
      <c r="G171" s="5" t="s">
        <v>18</v>
      </c>
      <c r="H171" s="3" t="s">
        <v>44</v>
      </c>
      <c r="I171" s="3"/>
      <c r="J171" s="3"/>
      <c r="K171" s="5" t="s">
        <v>23</v>
      </c>
      <c r="L171" s="5">
        <v>8</v>
      </c>
      <c r="M171" s="2" t="s">
        <v>610</v>
      </c>
    </row>
    <row r="172" spans="1:13" x14ac:dyDescent="0.25">
      <c r="A172" s="5" t="str">
        <f>"6281022103854"</f>
        <v>6281022103854</v>
      </c>
      <c r="B172" s="2" t="s">
        <v>611</v>
      </c>
      <c r="C172" s="2" t="s">
        <v>612</v>
      </c>
      <c r="D172" s="5" t="s">
        <v>15</v>
      </c>
      <c r="E172" s="5" t="s">
        <v>16</v>
      </c>
      <c r="F172" s="5" t="s">
        <v>17</v>
      </c>
      <c r="G172" s="5" t="s">
        <v>18</v>
      </c>
      <c r="H172" s="3"/>
      <c r="I172" s="3"/>
      <c r="J172" s="3"/>
      <c r="K172" s="5" t="s">
        <v>23</v>
      </c>
      <c r="L172" s="5">
        <v>14</v>
      </c>
      <c r="M172" s="2" t="s">
        <v>613</v>
      </c>
    </row>
    <row r="173" spans="1:13" x14ac:dyDescent="0.25">
      <c r="A173" s="5" t="str">
        <f>"6084012090673"</f>
        <v>6084012090673</v>
      </c>
      <c r="B173" s="2" t="s">
        <v>614</v>
      </c>
      <c r="C173" s="2" t="s">
        <v>615</v>
      </c>
      <c r="D173" s="5" t="s">
        <v>15</v>
      </c>
      <c r="E173" s="5" t="s">
        <v>16</v>
      </c>
      <c r="F173" s="5" t="s">
        <v>17</v>
      </c>
      <c r="G173" s="5" t="s">
        <v>18</v>
      </c>
      <c r="H173" s="3" t="s">
        <v>206</v>
      </c>
      <c r="I173" s="3"/>
      <c r="J173" s="3"/>
      <c r="K173" s="5" t="s">
        <v>23</v>
      </c>
      <c r="L173" s="5">
        <v>15.95</v>
      </c>
      <c r="M173" s="2" t="s">
        <v>616</v>
      </c>
    </row>
    <row r="174" spans="1:13" x14ac:dyDescent="0.25">
      <c r="A174" s="5" t="str">
        <f>"6297001083871"</f>
        <v>6297001083871</v>
      </c>
      <c r="B174" s="2" t="s">
        <v>617</v>
      </c>
      <c r="C174" s="2" t="s">
        <v>618</v>
      </c>
      <c r="D174" s="5" t="s">
        <v>15</v>
      </c>
      <c r="E174" s="5" t="s">
        <v>16</v>
      </c>
      <c r="F174" s="5" t="s">
        <v>17</v>
      </c>
      <c r="G174" s="5" t="s">
        <v>18</v>
      </c>
      <c r="H174" s="3" t="s">
        <v>539</v>
      </c>
      <c r="I174" s="3"/>
      <c r="J174" s="3" t="s">
        <v>354</v>
      </c>
      <c r="K174" s="5" t="s">
        <v>23</v>
      </c>
      <c r="L174" s="5">
        <v>9.9499999999999993</v>
      </c>
      <c r="M174" s="2" t="s">
        <v>619</v>
      </c>
    </row>
    <row r="175" spans="1:13" x14ac:dyDescent="0.25">
      <c r="A175" s="5" t="str">
        <f>"6287004293551"</f>
        <v>6287004293551</v>
      </c>
      <c r="B175" s="2" t="s">
        <v>620</v>
      </c>
      <c r="C175" s="2" t="s">
        <v>621</v>
      </c>
      <c r="D175" s="5" t="s">
        <v>15</v>
      </c>
      <c r="E175" s="5" t="s">
        <v>16</v>
      </c>
      <c r="F175" s="5" t="s">
        <v>17</v>
      </c>
      <c r="G175" s="5" t="s">
        <v>18</v>
      </c>
      <c r="H175" s="3" t="s">
        <v>622</v>
      </c>
      <c r="I175" s="3"/>
      <c r="J175" s="3" t="s">
        <v>72</v>
      </c>
      <c r="K175" s="5" t="s">
        <v>23</v>
      </c>
      <c r="L175" s="5">
        <v>7.95</v>
      </c>
      <c r="M175" s="2" t="s">
        <v>623</v>
      </c>
    </row>
    <row r="176" spans="1:13" x14ac:dyDescent="0.25">
      <c r="A176" s="5" t="str">
        <f>"6281022107296"</f>
        <v>6281022107296</v>
      </c>
      <c r="B176" s="2" t="s">
        <v>624</v>
      </c>
      <c r="C176" s="2" t="s">
        <v>625</v>
      </c>
      <c r="D176" s="5" t="s">
        <v>15</v>
      </c>
      <c r="E176" s="5" t="s">
        <v>16</v>
      </c>
      <c r="F176" s="5" t="s">
        <v>17</v>
      </c>
      <c r="G176" s="5" t="s">
        <v>18</v>
      </c>
      <c r="H176" s="3"/>
      <c r="I176" s="3"/>
      <c r="J176" s="3"/>
      <c r="K176" s="5" t="s">
        <v>23</v>
      </c>
      <c r="L176" s="5">
        <v>14</v>
      </c>
      <c r="M176" s="2" t="s">
        <v>626</v>
      </c>
    </row>
    <row r="177" spans="1:13" x14ac:dyDescent="0.25">
      <c r="A177" s="5" t="str">
        <f>"6281018262947"</f>
        <v>6281018262947</v>
      </c>
      <c r="B177" s="2" t="s">
        <v>627</v>
      </c>
      <c r="C177" s="2" t="s">
        <v>628</v>
      </c>
      <c r="D177" s="5" t="s">
        <v>15</v>
      </c>
      <c r="E177" s="5" t="s">
        <v>16</v>
      </c>
      <c r="F177" s="5" t="s">
        <v>17</v>
      </c>
      <c r="G177" s="5" t="s">
        <v>18</v>
      </c>
      <c r="H177" s="3" t="s">
        <v>67</v>
      </c>
      <c r="I177" s="3" t="s">
        <v>33</v>
      </c>
      <c r="J177" s="3" t="s">
        <v>629</v>
      </c>
      <c r="K177" s="5" t="s">
        <v>23</v>
      </c>
      <c r="L177" s="5">
        <v>10.5</v>
      </c>
      <c r="M177" s="2" t="s">
        <v>630</v>
      </c>
    </row>
    <row r="178" spans="1:13" x14ac:dyDescent="0.25">
      <c r="A178" s="5" t="str">
        <f>"6287005740023"</f>
        <v>6287005740023</v>
      </c>
      <c r="B178" s="2" t="s">
        <v>631</v>
      </c>
      <c r="C178" s="2" t="s">
        <v>632</v>
      </c>
      <c r="D178" s="5" t="s">
        <v>15</v>
      </c>
      <c r="E178" s="5" t="s">
        <v>16</v>
      </c>
      <c r="F178" s="5" t="s">
        <v>17</v>
      </c>
      <c r="G178" s="5" t="s">
        <v>18</v>
      </c>
      <c r="H178" s="3"/>
      <c r="I178" s="3"/>
      <c r="J178" s="3"/>
      <c r="K178" s="5" t="s">
        <v>23</v>
      </c>
      <c r="L178" s="5">
        <v>11.25</v>
      </c>
      <c r="M178" s="2" t="s">
        <v>633</v>
      </c>
    </row>
    <row r="179" spans="1:13" x14ac:dyDescent="0.25">
      <c r="A179" s="5" t="str">
        <f>"6297001083499"</f>
        <v>6297001083499</v>
      </c>
      <c r="B179" s="2" t="s">
        <v>634</v>
      </c>
      <c r="C179" s="2" t="s">
        <v>635</v>
      </c>
      <c r="D179" s="5" t="s">
        <v>15</v>
      </c>
      <c r="E179" s="5" t="s">
        <v>16</v>
      </c>
      <c r="F179" s="5" t="s">
        <v>17</v>
      </c>
      <c r="G179" s="5" t="s">
        <v>18</v>
      </c>
      <c r="H179" s="3" t="s">
        <v>539</v>
      </c>
      <c r="I179" s="3"/>
      <c r="J179" s="3" t="s">
        <v>238</v>
      </c>
      <c r="K179" s="5" t="s">
        <v>23</v>
      </c>
      <c r="L179" s="5">
        <v>21.95</v>
      </c>
      <c r="M179" s="2" t="s">
        <v>636</v>
      </c>
    </row>
    <row r="180" spans="1:13" x14ac:dyDescent="0.25">
      <c r="A180" s="5" t="str">
        <f>"3560070108558"</f>
        <v>3560070108558</v>
      </c>
      <c r="B180" s="2" t="s">
        <v>637</v>
      </c>
      <c r="C180" s="2" t="s">
        <v>638</v>
      </c>
      <c r="D180" s="5" t="s">
        <v>15</v>
      </c>
      <c r="E180" s="5" t="s">
        <v>16</v>
      </c>
      <c r="F180" s="5" t="s">
        <v>17</v>
      </c>
      <c r="G180" s="5" t="s">
        <v>18</v>
      </c>
      <c r="H180" s="3" t="s">
        <v>165</v>
      </c>
      <c r="I180" s="3" t="s">
        <v>108</v>
      </c>
      <c r="J180" s="3" t="s">
        <v>28</v>
      </c>
      <c r="K180" s="5" t="s">
        <v>23</v>
      </c>
      <c r="L180" s="5">
        <v>40.950000000000003</v>
      </c>
      <c r="M180" s="2" t="s">
        <v>639</v>
      </c>
    </row>
    <row r="181" spans="1:13" x14ac:dyDescent="0.25">
      <c r="A181" s="5" t="str">
        <f>"8692971438214"</f>
        <v>8692971438214</v>
      </c>
      <c r="B181" s="2" t="s">
        <v>640</v>
      </c>
      <c r="C181" s="2" t="s">
        <v>641</v>
      </c>
      <c r="D181" s="5" t="s">
        <v>15</v>
      </c>
      <c r="E181" s="5" t="s">
        <v>16</v>
      </c>
      <c r="F181" s="5" t="s">
        <v>17</v>
      </c>
      <c r="G181" s="5" t="s">
        <v>18</v>
      </c>
      <c r="H181" s="3" t="s">
        <v>107</v>
      </c>
      <c r="I181" s="3"/>
      <c r="J181" s="3" t="s">
        <v>642</v>
      </c>
      <c r="K181" s="5" t="s">
        <v>23</v>
      </c>
      <c r="L181" s="5">
        <v>27.5</v>
      </c>
      <c r="M181" s="2" t="s">
        <v>643</v>
      </c>
    </row>
    <row r="182" spans="1:13" x14ac:dyDescent="0.25">
      <c r="A182" s="5" t="str">
        <f>"3560070971848"</f>
        <v>3560070971848</v>
      </c>
      <c r="B182" s="2" t="s">
        <v>644</v>
      </c>
      <c r="C182" s="2" t="s">
        <v>645</v>
      </c>
      <c r="D182" s="5" t="s">
        <v>15</v>
      </c>
      <c r="E182" s="5" t="s">
        <v>16</v>
      </c>
      <c r="F182" s="5" t="s">
        <v>17</v>
      </c>
      <c r="G182" s="5" t="s">
        <v>18</v>
      </c>
      <c r="H182" s="3" t="s">
        <v>165</v>
      </c>
      <c r="I182" s="3"/>
      <c r="J182" s="3"/>
      <c r="K182" s="5" t="s">
        <v>23</v>
      </c>
      <c r="L182" s="5">
        <v>21.95</v>
      </c>
      <c r="M182" s="2" t="s">
        <v>646</v>
      </c>
    </row>
    <row r="183" spans="1:13" x14ac:dyDescent="0.25">
      <c r="A183" s="5" t="str">
        <f>"6281007032278"</f>
        <v>6281007032278</v>
      </c>
      <c r="B183" s="2" t="s">
        <v>647</v>
      </c>
      <c r="C183" s="2" t="s">
        <v>648</v>
      </c>
      <c r="D183" s="5" t="s">
        <v>15</v>
      </c>
      <c r="E183" s="5" t="s">
        <v>16</v>
      </c>
      <c r="F183" s="5" t="s">
        <v>17</v>
      </c>
      <c r="G183" s="5" t="s">
        <v>18</v>
      </c>
      <c r="H183" s="3" t="s">
        <v>32</v>
      </c>
      <c r="I183" s="3" t="s">
        <v>33</v>
      </c>
      <c r="J183" s="3" t="s">
        <v>238</v>
      </c>
      <c r="K183" s="5" t="s">
        <v>23</v>
      </c>
      <c r="L183" s="5">
        <v>6.5</v>
      </c>
      <c r="M183" s="2" t="s">
        <v>649</v>
      </c>
    </row>
    <row r="184" spans="1:13" x14ac:dyDescent="0.25">
      <c r="A184" s="5" t="str">
        <f>"3073781190960"</f>
        <v>3073781190960</v>
      </c>
      <c r="B184" s="2" t="s">
        <v>650</v>
      </c>
      <c r="C184" s="2" t="s">
        <v>651</v>
      </c>
      <c r="D184" s="5" t="s">
        <v>15</v>
      </c>
      <c r="E184" s="5" t="s">
        <v>16</v>
      </c>
      <c r="F184" s="5" t="s">
        <v>17</v>
      </c>
      <c r="G184" s="5" t="s">
        <v>18</v>
      </c>
      <c r="H184" s="3" t="s">
        <v>87</v>
      </c>
      <c r="I184" s="3"/>
      <c r="J184" s="3"/>
      <c r="K184" s="5" t="s">
        <v>23</v>
      </c>
      <c r="L184" s="5">
        <v>16.95</v>
      </c>
      <c r="M184" s="2" t="s">
        <v>652</v>
      </c>
    </row>
    <row r="185" spans="1:13" x14ac:dyDescent="0.25">
      <c r="A185" s="5" t="str">
        <f>"6281022118063"</f>
        <v>6281022118063</v>
      </c>
      <c r="B185" s="2" t="s">
        <v>653</v>
      </c>
      <c r="C185" s="2" t="s">
        <v>654</v>
      </c>
      <c r="D185" s="5" t="s">
        <v>15</v>
      </c>
      <c r="E185" s="5" t="s">
        <v>16</v>
      </c>
      <c r="F185" s="5" t="s">
        <v>17</v>
      </c>
      <c r="G185" s="5" t="s">
        <v>18</v>
      </c>
      <c r="H185" s="3" t="s">
        <v>59</v>
      </c>
      <c r="I185" s="3"/>
      <c r="J185" s="3" t="s">
        <v>60</v>
      </c>
      <c r="K185" s="5" t="s">
        <v>23</v>
      </c>
      <c r="L185" s="5">
        <v>2.5</v>
      </c>
      <c r="M185" s="2" t="s">
        <v>655</v>
      </c>
    </row>
    <row r="186" spans="1:13" x14ac:dyDescent="0.25">
      <c r="A186" s="5" t="str">
        <f>"6281057002672"</f>
        <v>6281057002672</v>
      </c>
      <c r="B186" s="2" t="s">
        <v>656</v>
      </c>
      <c r="C186" s="2" t="s">
        <v>657</v>
      </c>
      <c r="D186" s="5" t="s">
        <v>15</v>
      </c>
      <c r="E186" s="5" t="s">
        <v>16</v>
      </c>
      <c r="F186" s="5" t="s">
        <v>17</v>
      </c>
      <c r="G186" s="5" t="s">
        <v>18</v>
      </c>
      <c r="H186" s="3" t="s">
        <v>44</v>
      </c>
      <c r="I186" s="3"/>
      <c r="J186" s="3" t="s">
        <v>658</v>
      </c>
      <c r="K186" s="5" t="s">
        <v>23</v>
      </c>
      <c r="L186" s="5">
        <v>9.5</v>
      </c>
      <c r="M186" s="2" t="s">
        <v>659</v>
      </c>
    </row>
    <row r="187" spans="1:13" x14ac:dyDescent="0.25">
      <c r="A187" s="5" t="str">
        <f>"6281022118247"</f>
        <v>6281022118247</v>
      </c>
      <c r="B187" s="2" t="s">
        <v>660</v>
      </c>
      <c r="C187" s="2" t="s">
        <v>661</v>
      </c>
      <c r="D187" s="5" t="s">
        <v>15</v>
      </c>
      <c r="E187" s="5" t="s">
        <v>16</v>
      </c>
      <c r="F187" s="5" t="s">
        <v>17</v>
      </c>
      <c r="G187" s="5" t="s">
        <v>18</v>
      </c>
      <c r="H187" s="3" t="s">
        <v>59</v>
      </c>
      <c r="I187" s="3"/>
      <c r="J187" s="3"/>
      <c r="K187" s="5" t="s">
        <v>23</v>
      </c>
      <c r="L187" s="5">
        <v>2.5</v>
      </c>
      <c r="M187" s="2" t="s">
        <v>662</v>
      </c>
    </row>
    <row r="188" spans="1:13" x14ac:dyDescent="0.25">
      <c r="A188" s="5" t="str">
        <f>"3245411216818"</f>
        <v>3245411216818</v>
      </c>
      <c r="B188" s="2" t="s">
        <v>663</v>
      </c>
      <c r="C188" s="2" t="s">
        <v>664</v>
      </c>
      <c r="D188" s="5" t="s">
        <v>15</v>
      </c>
      <c r="E188" s="5" t="s">
        <v>16</v>
      </c>
      <c r="F188" s="5" t="s">
        <v>17</v>
      </c>
      <c r="G188" s="5" t="s">
        <v>18</v>
      </c>
      <c r="H188" s="3" t="s">
        <v>165</v>
      </c>
      <c r="I188" s="3"/>
      <c r="J188" s="3" t="s">
        <v>371</v>
      </c>
      <c r="K188" s="5" t="s">
        <v>23</v>
      </c>
      <c r="L188" s="5">
        <v>23.95</v>
      </c>
      <c r="M188" s="2" t="s">
        <v>665</v>
      </c>
    </row>
    <row r="189" spans="1:13" x14ac:dyDescent="0.25">
      <c r="A189" s="5" t="str">
        <f>"6281022153323"</f>
        <v>6281022153323</v>
      </c>
      <c r="B189" s="2" t="s">
        <v>666</v>
      </c>
      <c r="C189" s="2" t="s">
        <v>667</v>
      </c>
      <c r="D189" s="5" t="s">
        <v>15</v>
      </c>
      <c r="E189" s="5" t="s">
        <v>16</v>
      </c>
      <c r="F189" s="5" t="s">
        <v>17</v>
      </c>
      <c r="G189" s="5" t="s">
        <v>18</v>
      </c>
      <c r="H189" s="3"/>
      <c r="I189" s="3"/>
      <c r="J189" s="3" t="s">
        <v>668</v>
      </c>
      <c r="K189" s="5" t="s">
        <v>23</v>
      </c>
      <c r="L189" s="5">
        <v>37.25</v>
      </c>
      <c r="M189" s="2" t="s">
        <v>669</v>
      </c>
    </row>
    <row r="190" spans="1:13" x14ac:dyDescent="0.25">
      <c r="A190" s="5" t="str">
        <f>"6281048109885"</f>
        <v>6281048109885</v>
      </c>
      <c r="B190" s="2" t="s">
        <v>670</v>
      </c>
      <c r="C190" s="2" t="s">
        <v>671</v>
      </c>
      <c r="D190" s="5" t="s">
        <v>15</v>
      </c>
      <c r="E190" s="5" t="s">
        <v>16</v>
      </c>
      <c r="F190" s="5" t="s">
        <v>17</v>
      </c>
      <c r="G190" s="5" t="s">
        <v>18</v>
      </c>
      <c r="H190" s="3" t="s">
        <v>27</v>
      </c>
      <c r="I190" s="3"/>
      <c r="J190" s="3"/>
      <c r="K190" s="5" t="s">
        <v>23</v>
      </c>
      <c r="L190" s="5">
        <v>19.95</v>
      </c>
      <c r="M190" s="2" t="s">
        <v>672</v>
      </c>
    </row>
    <row r="191" spans="1:13" x14ac:dyDescent="0.25">
      <c r="A191" s="5" t="str">
        <f>"6281022117264"</f>
        <v>6281022117264</v>
      </c>
      <c r="B191" s="2" t="s">
        <v>673</v>
      </c>
      <c r="C191" s="2" t="s">
        <v>674</v>
      </c>
      <c r="D191" s="5" t="s">
        <v>15</v>
      </c>
      <c r="E191" s="5" t="s">
        <v>16</v>
      </c>
      <c r="F191" s="5" t="s">
        <v>17</v>
      </c>
      <c r="G191" s="5" t="s">
        <v>18</v>
      </c>
      <c r="H191" s="3" t="s">
        <v>59</v>
      </c>
      <c r="I191" s="3"/>
      <c r="J191" s="3" t="s">
        <v>675</v>
      </c>
      <c r="K191" s="5" t="s">
        <v>23</v>
      </c>
      <c r="L191" s="5">
        <v>2.5</v>
      </c>
      <c r="M191" s="2" t="s">
        <v>676</v>
      </c>
    </row>
    <row r="192" spans="1:13" x14ac:dyDescent="0.25">
      <c r="A192" s="5" t="str">
        <f>"2142670000008"</f>
        <v>2142670000008</v>
      </c>
      <c r="B192" s="2" t="s">
        <v>677</v>
      </c>
      <c r="C192" s="2" t="s">
        <v>678</v>
      </c>
      <c r="D192" s="5" t="s">
        <v>15</v>
      </c>
      <c r="E192" s="5" t="s">
        <v>16</v>
      </c>
      <c r="F192" s="5" t="s">
        <v>17</v>
      </c>
      <c r="G192" s="5" t="s">
        <v>18</v>
      </c>
      <c r="H192" s="3"/>
      <c r="I192" s="3"/>
      <c r="J192" s="3"/>
      <c r="K192" s="5" t="s">
        <v>19</v>
      </c>
      <c r="L192" s="5">
        <v>65.95</v>
      </c>
      <c r="M192" s="2" t="s">
        <v>679</v>
      </c>
    </row>
    <row r="193" spans="1:13" x14ac:dyDescent="0.25">
      <c r="A193" s="5" t="str">
        <f>"6281018154846"</f>
        <v>6281018154846</v>
      </c>
      <c r="B193" s="2" t="s">
        <v>680</v>
      </c>
      <c r="C193" s="2" t="s">
        <v>681</v>
      </c>
      <c r="D193" s="5" t="s">
        <v>15</v>
      </c>
      <c r="E193" s="5" t="s">
        <v>16</v>
      </c>
      <c r="F193" s="5" t="s">
        <v>17</v>
      </c>
      <c r="G193" s="5" t="s">
        <v>18</v>
      </c>
      <c r="H193" s="3" t="s">
        <v>67</v>
      </c>
      <c r="I193" s="3" t="s">
        <v>33</v>
      </c>
      <c r="J193" s="3" t="s">
        <v>587</v>
      </c>
      <c r="K193" s="5" t="s">
        <v>23</v>
      </c>
      <c r="L193" s="5">
        <v>5.95</v>
      </c>
      <c r="M193" s="2" t="s">
        <v>682</v>
      </c>
    </row>
    <row r="194" spans="1:13" x14ac:dyDescent="0.25">
      <c r="A194" s="5" t="str">
        <f>"6281007033077"</f>
        <v>6281007033077</v>
      </c>
      <c r="B194" s="2" t="s">
        <v>683</v>
      </c>
      <c r="C194" s="2" t="s">
        <v>684</v>
      </c>
      <c r="D194" s="5" t="s">
        <v>15</v>
      </c>
      <c r="E194" s="5" t="s">
        <v>16</v>
      </c>
      <c r="F194" s="5" t="s">
        <v>17</v>
      </c>
      <c r="G194" s="5" t="s">
        <v>18</v>
      </c>
      <c r="H194" s="3" t="s">
        <v>32</v>
      </c>
      <c r="I194" s="3" t="s">
        <v>33</v>
      </c>
      <c r="J194" s="3"/>
      <c r="K194" s="5" t="s">
        <v>23</v>
      </c>
      <c r="L194" s="5">
        <v>19.5</v>
      </c>
      <c r="M194" s="2" t="s">
        <v>685</v>
      </c>
    </row>
    <row r="195" spans="1:13" x14ac:dyDescent="0.25">
      <c r="A195" s="5" t="str">
        <f>"3073781191042"</f>
        <v>3073781191042</v>
      </c>
      <c r="B195" s="2" t="s">
        <v>686</v>
      </c>
      <c r="C195" s="2" t="s">
        <v>687</v>
      </c>
      <c r="D195" s="5" t="s">
        <v>15</v>
      </c>
      <c r="E195" s="5" t="s">
        <v>16</v>
      </c>
      <c r="F195" s="5" t="s">
        <v>17</v>
      </c>
      <c r="G195" s="5" t="s">
        <v>18</v>
      </c>
      <c r="H195" s="3" t="s">
        <v>87</v>
      </c>
      <c r="I195" s="3" t="s">
        <v>88</v>
      </c>
      <c r="J195" s="3"/>
      <c r="K195" s="5" t="s">
        <v>23</v>
      </c>
      <c r="L195" s="5">
        <v>31.95</v>
      </c>
      <c r="M195" s="2" t="s">
        <v>688</v>
      </c>
    </row>
    <row r="196" spans="1:13" x14ac:dyDescent="0.25">
      <c r="A196" s="5" t="str">
        <f>"6281018140078"</f>
        <v>6281018140078</v>
      </c>
      <c r="B196" s="2" t="s">
        <v>689</v>
      </c>
      <c r="C196" s="2" t="s">
        <v>690</v>
      </c>
      <c r="D196" s="5" t="s">
        <v>15</v>
      </c>
      <c r="E196" s="5" t="s">
        <v>16</v>
      </c>
      <c r="F196" s="5" t="s">
        <v>17</v>
      </c>
      <c r="G196" s="5" t="s">
        <v>18</v>
      </c>
      <c r="H196" s="3" t="s">
        <v>67</v>
      </c>
      <c r="I196" s="3"/>
      <c r="J196" s="3"/>
      <c r="K196" s="5" t="s">
        <v>23</v>
      </c>
      <c r="L196" s="5">
        <v>12</v>
      </c>
      <c r="M196" s="2" t="s">
        <v>691</v>
      </c>
    </row>
    <row r="197" spans="1:13" x14ac:dyDescent="0.25">
      <c r="A197" s="5" t="str">
        <f>"6281007035071"</f>
        <v>6281007035071</v>
      </c>
      <c r="B197" s="2" t="s">
        <v>692</v>
      </c>
      <c r="C197" s="2" t="s">
        <v>693</v>
      </c>
      <c r="D197" s="5" t="s">
        <v>15</v>
      </c>
      <c r="E197" s="5" t="s">
        <v>16</v>
      </c>
      <c r="F197" s="5" t="s">
        <v>17</v>
      </c>
      <c r="G197" s="5" t="s">
        <v>18</v>
      </c>
      <c r="H197" s="3" t="s">
        <v>32</v>
      </c>
      <c r="I197" s="3"/>
      <c r="J197" s="3"/>
      <c r="K197" s="5" t="s">
        <v>23</v>
      </c>
      <c r="L197" s="5">
        <v>64.95</v>
      </c>
      <c r="M197" s="2" t="s">
        <v>694</v>
      </c>
    </row>
    <row r="198" spans="1:13" x14ac:dyDescent="0.25">
      <c r="A198" s="5" t="str">
        <f>"6281057002610"</f>
        <v>6281057002610</v>
      </c>
      <c r="B198" s="2" t="s">
        <v>695</v>
      </c>
      <c r="C198" s="2" t="s">
        <v>696</v>
      </c>
      <c r="D198" s="5" t="s">
        <v>15</v>
      </c>
      <c r="E198" s="5" t="s">
        <v>16</v>
      </c>
      <c r="F198" s="5" t="s">
        <v>17</v>
      </c>
      <c r="G198" s="5" t="s">
        <v>18</v>
      </c>
      <c r="H198" s="3" t="s">
        <v>44</v>
      </c>
      <c r="I198" s="3"/>
      <c r="J198" s="3"/>
      <c r="K198" s="5" t="s">
        <v>23</v>
      </c>
      <c r="L198" s="5">
        <v>9.5</v>
      </c>
      <c r="M198" s="2" t="s">
        <v>697</v>
      </c>
    </row>
    <row r="199" spans="1:13" x14ac:dyDescent="0.25">
      <c r="A199" s="5" t="str">
        <f>"2141819000008"</f>
        <v>2141819000008</v>
      </c>
      <c r="B199" s="2" t="s">
        <v>698</v>
      </c>
      <c r="C199" s="2" t="s">
        <v>699</v>
      </c>
      <c r="D199" s="5" t="s">
        <v>15</v>
      </c>
      <c r="E199" s="5" t="s">
        <v>16</v>
      </c>
      <c r="F199" s="5" t="s">
        <v>17</v>
      </c>
      <c r="G199" s="5" t="s">
        <v>18</v>
      </c>
      <c r="H199" s="3"/>
      <c r="I199" s="3"/>
      <c r="J199" s="3"/>
      <c r="K199" s="5" t="s">
        <v>19</v>
      </c>
      <c r="L199" s="5">
        <v>51.95</v>
      </c>
      <c r="M199" s="2" t="s">
        <v>700</v>
      </c>
    </row>
    <row r="200" spans="1:13" x14ac:dyDescent="0.25">
      <c r="A200" s="5" t="str">
        <f>"6281007023900"</f>
        <v>6281007023900</v>
      </c>
      <c r="B200" s="2" t="s">
        <v>701</v>
      </c>
      <c r="C200" s="2" t="s">
        <v>702</v>
      </c>
      <c r="D200" s="5" t="s">
        <v>15</v>
      </c>
      <c r="E200" s="5" t="s">
        <v>16</v>
      </c>
      <c r="F200" s="5" t="s">
        <v>17</v>
      </c>
      <c r="G200" s="5" t="s">
        <v>18</v>
      </c>
      <c r="H200" s="3" t="s">
        <v>32</v>
      </c>
      <c r="I200" s="3" t="s">
        <v>33</v>
      </c>
      <c r="J200" s="3" t="s">
        <v>703</v>
      </c>
      <c r="K200" s="5" t="s">
        <v>23</v>
      </c>
      <c r="L200" s="5">
        <v>8.25</v>
      </c>
      <c r="M200" s="2" t="s">
        <v>704</v>
      </c>
    </row>
    <row r="201" spans="1:13" x14ac:dyDescent="0.25">
      <c r="A201" s="5" t="str">
        <f>"6281100504023"</f>
        <v>6281100504023</v>
      </c>
      <c r="B201" s="2" t="s">
        <v>705</v>
      </c>
      <c r="C201" s="2" t="s">
        <v>706</v>
      </c>
      <c r="D201" s="5" t="s">
        <v>15</v>
      </c>
      <c r="E201" s="5" t="s">
        <v>16</v>
      </c>
      <c r="F201" s="5" t="s">
        <v>17</v>
      </c>
      <c r="G201" s="5" t="s">
        <v>18</v>
      </c>
      <c r="H201" s="3" t="s">
        <v>466</v>
      </c>
      <c r="I201" s="3"/>
      <c r="J201" s="3"/>
      <c r="K201" s="5" t="s">
        <v>23</v>
      </c>
      <c r="L201" s="5">
        <v>18.95</v>
      </c>
      <c r="M201" s="2" t="s">
        <v>707</v>
      </c>
    </row>
    <row r="202" spans="1:13" x14ac:dyDescent="0.25">
      <c r="A202" s="5" t="str">
        <f>"6281022118230"</f>
        <v>6281022118230</v>
      </c>
      <c r="B202" s="2" t="s">
        <v>708</v>
      </c>
      <c r="C202" s="2" t="s">
        <v>709</v>
      </c>
      <c r="D202" s="5" t="s">
        <v>15</v>
      </c>
      <c r="E202" s="5" t="s">
        <v>16</v>
      </c>
      <c r="F202" s="5" t="s">
        <v>17</v>
      </c>
      <c r="G202" s="5" t="s">
        <v>18</v>
      </c>
      <c r="H202" s="3" t="s">
        <v>59</v>
      </c>
      <c r="I202" s="3"/>
      <c r="J202" s="3"/>
      <c r="K202" s="5" t="s">
        <v>23</v>
      </c>
      <c r="L202" s="5">
        <v>2.5</v>
      </c>
      <c r="M202" s="2" t="s">
        <v>710</v>
      </c>
    </row>
    <row r="203" spans="1:13" x14ac:dyDescent="0.25">
      <c r="A203" s="5" t="str">
        <f>"3073781193367"</f>
        <v>3073781193367</v>
      </c>
      <c r="B203" s="2" t="s">
        <v>711</v>
      </c>
      <c r="C203" s="2" t="s">
        <v>712</v>
      </c>
      <c r="D203" s="5" t="s">
        <v>15</v>
      </c>
      <c r="E203" s="5" t="s">
        <v>16</v>
      </c>
      <c r="F203" s="5" t="s">
        <v>17</v>
      </c>
      <c r="G203" s="5" t="s">
        <v>18</v>
      </c>
      <c r="H203" s="3" t="s">
        <v>87</v>
      </c>
      <c r="I203" s="3"/>
      <c r="J203" s="3" t="s">
        <v>713</v>
      </c>
      <c r="K203" s="5" t="s">
        <v>23</v>
      </c>
      <c r="L203" s="5">
        <v>22.25</v>
      </c>
      <c r="M203" s="2" t="s">
        <v>714</v>
      </c>
    </row>
    <row r="204" spans="1:13" x14ac:dyDescent="0.25">
      <c r="A204" s="5" t="str">
        <f>"6281022120431"</f>
        <v>6281022120431</v>
      </c>
      <c r="B204" s="2" t="s">
        <v>715</v>
      </c>
      <c r="C204" s="2" t="s">
        <v>716</v>
      </c>
      <c r="D204" s="5" t="s">
        <v>15</v>
      </c>
      <c r="E204" s="5" t="s">
        <v>16</v>
      </c>
      <c r="F204" s="5" t="s">
        <v>17</v>
      </c>
      <c r="G204" s="5" t="s">
        <v>18</v>
      </c>
      <c r="H204" s="3"/>
      <c r="I204" s="3"/>
      <c r="J204" s="3"/>
      <c r="K204" s="5" t="s">
        <v>23</v>
      </c>
      <c r="L204" s="5">
        <v>14.5</v>
      </c>
      <c r="M204" s="2" t="s">
        <v>717</v>
      </c>
    </row>
    <row r="205" spans="1:13" x14ac:dyDescent="0.25">
      <c r="A205" s="5" t="str">
        <f>"5411188125341"</f>
        <v>5411188125341</v>
      </c>
      <c r="B205" s="2" t="s">
        <v>718</v>
      </c>
      <c r="C205" s="2" t="s">
        <v>719</v>
      </c>
      <c r="D205" s="5" t="s">
        <v>15</v>
      </c>
      <c r="E205" s="5" t="s">
        <v>16</v>
      </c>
      <c r="F205" s="5" t="s">
        <v>17</v>
      </c>
      <c r="G205" s="5" t="s">
        <v>18</v>
      </c>
      <c r="H205" s="3" t="s">
        <v>230</v>
      </c>
      <c r="I205" s="3"/>
      <c r="J205" s="3" t="s">
        <v>238</v>
      </c>
      <c r="K205" s="5" t="s">
        <v>23</v>
      </c>
      <c r="L205" s="5">
        <v>28</v>
      </c>
      <c r="M205" s="2" t="s">
        <v>720</v>
      </c>
    </row>
    <row r="206" spans="1:13" x14ac:dyDescent="0.25">
      <c r="A206" s="5" t="str">
        <f>"6281022167276"</f>
        <v>6281022167276</v>
      </c>
      <c r="B206" s="2" t="s">
        <v>721</v>
      </c>
      <c r="C206" s="2" t="s">
        <v>722</v>
      </c>
      <c r="D206" s="5" t="s">
        <v>15</v>
      </c>
      <c r="E206" s="5" t="s">
        <v>16</v>
      </c>
      <c r="F206" s="5" t="s">
        <v>17</v>
      </c>
      <c r="G206" s="5" t="s">
        <v>18</v>
      </c>
      <c r="H206" s="3"/>
      <c r="I206" s="3" t="s">
        <v>723</v>
      </c>
      <c r="J206" s="3" t="s">
        <v>724</v>
      </c>
      <c r="K206" s="5" t="s">
        <v>23</v>
      </c>
      <c r="L206" s="5">
        <v>16</v>
      </c>
      <c r="M206" s="2" t="s">
        <v>725</v>
      </c>
    </row>
    <row r="207" spans="1:13" x14ac:dyDescent="0.25">
      <c r="A207" s="5" t="str">
        <f>"6084012090284"</f>
        <v>6084012090284</v>
      </c>
      <c r="B207" s="2" t="s">
        <v>726</v>
      </c>
      <c r="C207" s="2" t="s">
        <v>727</v>
      </c>
      <c r="D207" s="5" t="s">
        <v>15</v>
      </c>
      <c r="E207" s="5" t="s">
        <v>16</v>
      </c>
      <c r="F207" s="5" t="s">
        <v>17</v>
      </c>
      <c r="G207" s="5" t="s">
        <v>18</v>
      </c>
      <c r="H207" s="3" t="s">
        <v>206</v>
      </c>
      <c r="I207" s="3"/>
      <c r="J207" s="3"/>
      <c r="K207" s="5" t="s">
        <v>23</v>
      </c>
      <c r="L207" s="5">
        <v>22.95</v>
      </c>
      <c r="M207" s="2" t="s">
        <v>728</v>
      </c>
    </row>
    <row r="208" spans="1:13" x14ac:dyDescent="0.25">
      <c r="A208" s="5" t="str">
        <f>"6281024114476"</f>
        <v>6281024114476</v>
      </c>
      <c r="B208" s="2" t="s">
        <v>729</v>
      </c>
      <c r="C208" s="2" t="s">
        <v>125</v>
      </c>
      <c r="D208" s="5" t="s">
        <v>15</v>
      </c>
      <c r="E208" s="5" t="s">
        <v>16</v>
      </c>
      <c r="F208" s="5" t="s">
        <v>17</v>
      </c>
      <c r="G208" s="5" t="s">
        <v>18</v>
      </c>
      <c r="H208" s="3" t="s">
        <v>107</v>
      </c>
      <c r="I208" s="3" t="s">
        <v>108</v>
      </c>
      <c r="J208" s="3" t="s">
        <v>126</v>
      </c>
      <c r="K208" s="5" t="s">
        <v>23</v>
      </c>
      <c r="L208" s="5">
        <v>35.5</v>
      </c>
      <c r="M208" s="2" t="s">
        <v>730</v>
      </c>
    </row>
    <row r="209" spans="1:13" x14ac:dyDescent="0.25">
      <c r="A209" s="5" t="str">
        <f>"6281048109625"</f>
        <v>6281048109625</v>
      </c>
      <c r="B209" s="2" t="s">
        <v>731</v>
      </c>
      <c r="C209" s="2" t="s">
        <v>732</v>
      </c>
      <c r="D209" s="5" t="s">
        <v>15</v>
      </c>
      <c r="E209" s="5" t="s">
        <v>16</v>
      </c>
      <c r="F209" s="5" t="s">
        <v>17</v>
      </c>
      <c r="G209" s="5" t="s">
        <v>18</v>
      </c>
      <c r="H209" s="3" t="s">
        <v>27</v>
      </c>
      <c r="I209" s="3" t="s">
        <v>153</v>
      </c>
      <c r="J209" s="3" t="s">
        <v>733</v>
      </c>
      <c r="K209" s="5" t="s">
        <v>23</v>
      </c>
      <c r="L209" s="5">
        <v>18.5</v>
      </c>
      <c r="M209" s="2" t="s">
        <v>734</v>
      </c>
    </row>
    <row r="210" spans="1:13" x14ac:dyDescent="0.25">
      <c r="A210" s="5" t="str">
        <f>"6281024110089"</f>
        <v>6281024110089</v>
      </c>
      <c r="B210" s="2" t="s">
        <v>735</v>
      </c>
      <c r="C210" s="2" t="s">
        <v>736</v>
      </c>
      <c r="D210" s="5" t="s">
        <v>15</v>
      </c>
      <c r="E210" s="5" t="s">
        <v>16</v>
      </c>
      <c r="F210" s="5" t="s">
        <v>17</v>
      </c>
      <c r="G210" s="5" t="s">
        <v>18</v>
      </c>
      <c r="H210" s="3" t="s">
        <v>107</v>
      </c>
      <c r="I210" s="3" t="s">
        <v>108</v>
      </c>
      <c r="J210" s="3" t="s">
        <v>28</v>
      </c>
      <c r="K210" s="5" t="s">
        <v>23</v>
      </c>
      <c r="L210" s="5">
        <v>10</v>
      </c>
      <c r="M210" s="2" t="s">
        <v>737</v>
      </c>
    </row>
    <row r="211" spans="1:13" x14ac:dyDescent="0.25">
      <c r="A211" s="5" t="str">
        <f>"6281007186230"</f>
        <v>6281007186230</v>
      </c>
      <c r="B211" s="2" t="s">
        <v>738</v>
      </c>
      <c r="C211" s="2" t="s">
        <v>739</v>
      </c>
      <c r="D211" s="5" t="s">
        <v>15</v>
      </c>
      <c r="E211" s="5" t="s">
        <v>16</v>
      </c>
      <c r="F211" s="5" t="s">
        <v>17</v>
      </c>
      <c r="G211" s="5" t="s">
        <v>18</v>
      </c>
      <c r="H211" s="3" t="s">
        <v>32</v>
      </c>
      <c r="I211" s="3" t="s">
        <v>33</v>
      </c>
      <c r="J211" s="3" t="s">
        <v>28</v>
      </c>
      <c r="K211" s="5" t="s">
        <v>23</v>
      </c>
      <c r="L211" s="5">
        <v>14.25</v>
      </c>
      <c r="M211" s="2" t="s">
        <v>740</v>
      </c>
    </row>
    <row r="212" spans="1:13" x14ac:dyDescent="0.25">
      <c r="A212" s="5" t="str">
        <f>"2143076000005"</f>
        <v>2143076000005</v>
      </c>
      <c r="B212" s="2" t="s">
        <v>741</v>
      </c>
      <c r="C212" s="2" t="s">
        <v>742</v>
      </c>
      <c r="D212" s="5" t="s">
        <v>15</v>
      </c>
      <c r="E212" s="5" t="s">
        <v>16</v>
      </c>
      <c r="F212" s="5" t="s">
        <v>17</v>
      </c>
      <c r="G212" s="5" t="s">
        <v>18</v>
      </c>
      <c r="H212" s="3"/>
      <c r="I212" s="3"/>
      <c r="J212" s="3"/>
      <c r="K212" s="5" t="s">
        <v>19</v>
      </c>
      <c r="L212" s="5">
        <v>70.95</v>
      </c>
      <c r="M212" s="2" t="s">
        <v>743</v>
      </c>
    </row>
    <row r="213" spans="1:13" x14ac:dyDescent="0.25">
      <c r="A213" s="5" t="str">
        <f>"6287004520381"</f>
        <v>6287004520381</v>
      </c>
      <c r="B213" s="2" t="s">
        <v>744</v>
      </c>
      <c r="C213" s="2" t="s">
        <v>745</v>
      </c>
      <c r="D213" s="5" t="s">
        <v>15</v>
      </c>
      <c r="E213" s="5" t="s">
        <v>16</v>
      </c>
      <c r="F213" s="5" t="s">
        <v>17</v>
      </c>
      <c r="G213" s="5" t="s">
        <v>18</v>
      </c>
      <c r="H213" s="3" t="s">
        <v>48</v>
      </c>
      <c r="I213" s="3"/>
      <c r="J213" s="3"/>
      <c r="K213" s="5" t="s">
        <v>23</v>
      </c>
      <c r="L213" s="5">
        <v>10.25</v>
      </c>
      <c r="M213" s="2" t="s">
        <v>746</v>
      </c>
    </row>
    <row r="214" spans="1:13" x14ac:dyDescent="0.25">
      <c r="A214" s="5" t="str">
        <f>"6281007036146"</f>
        <v>6281007036146</v>
      </c>
      <c r="B214" s="2" t="s">
        <v>747</v>
      </c>
      <c r="C214" s="2" t="s">
        <v>748</v>
      </c>
      <c r="D214" s="5" t="s">
        <v>15</v>
      </c>
      <c r="E214" s="5" t="s">
        <v>16</v>
      </c>
      <c r="F214" s="5" t="s">
        <v>17</v>
      </c>
      <c r="G214" s="5" t="s">
        <v>18</v>
      </c>
      <c r="H214" s="3" t="s">
        <v>32</v>
      </c>
      <c r="I214" s="3" t="s">
        <v>33</v>
      </c>
      <c r="J214" s="3"/>
      <c r="K214" s="5" t="s">
        <v>23</v>
      </c>
      <c r="L214" s="5">
        <v>33</v>
      </c>
      <c r="M214" s="2" t="s">
        <v>749</v>
      </c>
    </row>
    <row r="215" spans="1:13" x14ac:dyDescent="0.25">
      <c r="A215" s="5" t="str">
        <f>"6281022118094"</f>
        <v>6281022118094</v>
      </c>
      <c r="B215" s="2" t="s">
        <v>750</v>
      </c>
      <c r="C215" s="2" t="s">
        <v>751</v>
      </c>
      <c r="D215" s="5" t="s">
        <v>15</v>
      </c>
      <c r="E215" s="5" t="s">
        <v>16</v>
      </c>
      <c r="F215" s="5" t="s">
        <v>17</v>
      </c>
      <c r="G215" s="5" t="s">
        <v>18</v>
      </c>
      <c r="H215" s="3" t="s">
        <v>59</v>
      </c>
      <c r="I215" s="3"/>
      <c r="J215" s="3" t="s">
        <v>658</v>
      </c>
      <c r="K215" s="5" t="s">
        <v>23</v>
      </c>
      <c r="L215" s="5">
        <v>12.5</v>
      </c>
      <c r="M215" s="2" t="s">
        <v>752</v>
      </c>
    </row>
    <row r="216" spans="1:13" x14ac:dyDescent="0.25">
      <c r="A216" s="5" t="str">
        <f>"6281018154747"</f>
        <v>6281018154747</v>
      </c>
      <c r="B216" s="2" t="s">
        <v>753</v>
      </c>
      <c r="C216" s="2" t="s">
        <v>754</v>
      </c>
      <c r="D216" s="5" t="s">
        <v>15</v>
      </c>
      <c r="E216" s="5" t="s">
        <v>16</v>
      </c>
      <c r="F216" s="5" t="s">
        <v>17</v>
      </c>
      <c r="G216" s="5" t="s">
        <v>18</v>
      </c>
      <c r="H216" s="3" t="s">
        <v>67</v>
      </c>
      <c r="I216" s="3" t="s">
        <v>33</v>
      </c>
      <c r="J216" s="3" t="s">
        <v>587</v>
      </c>
      <c r="K216" s="5" t="s">
        <v>23</v>
      </c>
      <c r="L216" s="5">
        <v>5.95</v>
      </c>
      <c r="M216" s="2" t="s">
        <v>755</v>
      </c>
    </row>
    <row r="217" spans="1:13" x14ac:dyDescent="0.25">
      <c r="A217" s="5" t="str">
        <f>"6281057011704"</f>
        <v>6281057011704</v>
      </c>
      <c r="B217" s="2" t="s">
        <v>756</v>
      </c>
      <c r="C217" s="2" t="s">
        <v>757</v>
      </c>
      <c r="D217" s="5" t="s">
        <v>15</v>
      </c>
      <c r="E217" s="5" t="s">
        <v>16</v>
      </c>
      <c r="F217" s="5" t="s">
        <v>17</v>
      </c>
      <c r="G217" s="5" t="s">
        <v>18</v>
      </c>
      <c r="H217" s="3" t="s">
        <v>44</v>
      </c>
      <c r="I217" s="3"/>
      <c r="J217" s="3"/>
      <c r="K217" s="5" t="s">
        <v>23</v>
      </c>
      <c r="L217" s="5">
        <v>2</v>
      </c>
      <c r="M217" s="2" t="s">
        <v>758</v>
      </c>
    </row>
    <row r="218" spans="1:13" x14ac:dyDescent="0.25">
      <c r="A218" s="5" t="str">
        <f>"6281057012909"</f>
        <v>6281057012909</v>
      </c>
      <c r="B218" s="2" t="s">
        <v>759</v>
      </c>
      <c r="C218" s="2" t="s">
        <v>760</v>
      </c>
      <c r="D218" s="5" t="s">
        <v>15</v>
      </c>
      <c r="E218" s="5" t="s">
        <v>16</v>
      </c>
      <c r="F218" s="5" t="s">
        <v>17</v>
      </c>
      <c r="G218" s="5" t="s">
        <v>18</v>
      </c>
      <c r="H218" s="3" t="s">
        <v>44</v>
      </c>
      <c r="I218" s="3"/>
      <c r="J218" s="3"/>
      <c r="K218" s="5" t="s">
        <v>23</v>
      </c>
      <c r="L218" s="5">
        <v>10.95</v>
      </c>
      <c r="M218" s="2" t="s">
        <v>761</v>
      </c>
    </row>
    <row r="219" spans="1:13" x14ac:dyDescent="0.25">
      <c r="A219" s="5" t="str">
        <f>"6281007038973"</f>
        <v>6281007038973</v>
      </c>
      <c r="B219" s="2" t="s">
        <v>762</v>
      </c>
      <c r="C219" s="2" t="s">
        <v>763</v>
      </c>
      <c r="D219" s="5" t="s">
        <v>15</v>
      </c>
      <c r="E219" s="5" t="s">
        <v>16</v>
      </c>
      <c r="F219" s="5" t="s">
        <v>17</v>
      </c>
      <c r="G219" s="5" t="s">
        <v>18</v>
      </c>
      <c r="H219" s="3" t="s">
        <v>32</v>
      </c>
      <c r="I219" s="3"/>
      <c r="J219" s="3"/>
      <c r="K219" s="5" t="s">
        <v>23</v>
      </c>
      <c r="L219" s="5">
        <v>27.25</v>
      </c>
      <c r="M219" s="2" t="s">
        <v>764</v>
      </c>
    </row>
    <row r="220" spans="1:13" x14ac:dyDescent="0.25">
      <c r="A220" s="5" t="str">
        <f>"2142698000004"</f>
        <v>2142698000004</v>
      </c>
      <c r="B220" s="2" t="s">
        <v>765</v>
      </c>
      <c r="C220" s="2" t="s">
        <v>766</v>
      </c>
      <c r="D220" s="5" t="s">
        <v>15</v>
      </c>
      <c r="E220" s="5" t="s">
        <v>16</v>
      </c>
      <c r="F220" s="5" t="s">
        <v>17</v>
      </c>
      <c r="G220" s="5" t="s">
        <v>18</v>
      </c>
      <c r="H220" s="3"/>
      <c r="I220" s="3"/>
      <c r="J220" s="3"/>
      <c r="K220" s="5" t="s">
        <v>19</v>
      </c>
      <c r="L220" s="5">
        <v>24.45</v>
      </c>
      <c r="M220" s="2" t="s">
        <v>767</v>
      </c>
    </row>
    <row r="221" spans="1:13" x14ac:dyDescent="0.25">
      <c r="A221" s="5" t="str">
        <f>"5711953056918"</f>
        <v>5711953056918</v>
      </c>
      <c r="B221" s="2" t="s">
        <v>768</v>
      </c>
      <c r="C221" s="2" t="s">
        <v>769</v>
      </c>
      <c r="D221" s="5" t="s">
        <v>15</v>
      </c>
      <c r="E221" s="5" t="s">
        <v>16</v>
      </c>
      <c r="F221" s="5" t="s">
        <v>17</v>
      </c>
      <c r="G221" s="5" t="s">
        <v>18</v>
      </c>
      <c r="H221" s="3" t="s">
        <v>27</v>
      </c>
      <c r="I221" s="3"/>
      <c r="J221" s="3"/>
      <c r="K221" s="5" t="s">
        <v>23</v>
      </c>
      <c r="L221" s="5">
        <v>44.5</v>
      </c>
      <c r="M221" s="2" t="s">
        <v>770</v>
      </c>
    </row>
    <row r="222" spans="1:13" x14ac:dyDescent="0.25">
      <c r="A222" s="5" t="str">
        <f>"5711953023118"</f>
        <v>5711953023118</v>
      </c>
      <c r="B222" s="2" t="s">
        <v>771</v>
      </c>
      <c r="C222" s="2" t="s">
        <v>772</v>
      </c>
      <c r="D222" s="5" t="s">
        <v>15</v>
      </c>
      <c r="E222" s="5" t="s">
        <v>16</v>
      </c>
      <c r="F222" s="5" t="s">
        <v>17</v>
      </c>
      <c r="G222" s="5" t="s">
        <v>18</v>
      </c>
      <c r="H222" s="3" t="s">
        <v>27</v>
      </c>
      <c r="I222" s="3"/>
      <c r="J222" s="3"/>
      <c r="K222" s="5" t="s">
        <v>23</v>
      </c>
      <c r="L222" s="5">
        <v>17.5</v>
      </c>
      <c r="M222" s="2" t="s">
        <v>773</v>
      </c>
    </row>
    <row r="223" spans="1:13" x14ac:dyDescent="0.25">
      <c r="A223" s="5" t="str">
        <f>"3073781049831"</f>
        <v>3073781049831</v>
      </c>
      <c r="B223" s="2" t="s">
        <v>774</v>
      </c>
      <c r="C223" s="2" t="s">
        <v>775</v>
      </c>
      <c r="D223" s="5" t="s">
        <v>15</v>
      </c>
      <c r="E223" s="5" t="s">
        <v>16</v>
      </c>
      <c r="F223" s="5" t="s">
        <v>17</v>
      </c>
      <c r="G223" s="5" t="s">
        <v>18</v>
      </c>
      <c r="H223" s="3" t="s">
        <v>776</v>
      </c>
      <c r="I223" s="3"/>
      <c r="J223" s="3"/>
      <c r="K223" s="5" t="s">
        <v>23</v>
      </c>
      <c r="L223" s="5">
        <v>14.95</v>
      </c>
      <c r="M223" s="2" t="s">
        <v>777</v>
      </c>
    </row>
    <row r="224" spans="1:13" x14ac:dyDescent="0.25">
      <c r="A224" s="5" t="str">
        <f>"6281057005918"</f>
        <v>6281057005918</v>
      </c>
      <c r="B224" s="2" t="s">
        <v>778</v>
      </c>
      <c r="C224" s="2" t="s">
        <v>779</v>
      </c>
      <c r="D224" s="5" t="s">
        <v>15</v>
      </c>
      <c r="E224" s="5" t="s">
        <v>16</v>
      </c>
      <c r="F224" s="5" t="s">
        <v>17</v>
      </c>
      <c r="G224" s="5" t="s">
        <v>18</v>
      </c>
      <c r="H224" s="3" t="s">
        <v>44</v>
      </c>
      <c r="I224" s="3"/>
      <c r="J224" s="3"/>
      <c r="K224" s="5" t="s">
        <v>23</v>
      </c>
      <c r="L224" s="5">
        <v>5.5</v>
      </c>
      <c r="M224" s="2" t="s">
        <v>780</v>
      </c>
    </row>
    <row r="225" spans="1:13" x14ac:dyDescent="0.25">
      <c r="A225" s="5" t="str">
        <f>"6287004293568"</f>
        <v>6287004293568</v>
      </c>
      <c r="B225" s="2" t="s">
        <v>781</v>
      </c>
      <c r="C225" s="2" t="s">
        <v>782</v>
      </c>
      <c r="D225" s="5" t="s">
        <v>15</v>
      </c>
      <c r="E225" s="5" t="s">
        <v>16</v>
      </c>
      <c r="F225" s="5" t="s">
        <v>17</v>
      </c>
      <c r="G225" s="5" t="s">
        <v>18</v>
      </c>
      <c r="H225" s="3" t="s">
        <v>622</v>
      </c>
      <c r="I225" s="3"/>
      <c r="J225" s="3" t="s">
        <v>354</v>
      </c>
      <c r="K225" s="5" t="s">
        <v>23</v>
      </c>
      <c r="L225" s="5">
        <v>14.5</v>
      </c>
      <c r="M225" s="2" t="s">
        <v>783</v>
      </c>
    </row>
    <row r="226" spans="1:13" x14ac:dyDescent="0.25">
      <c r="A226" s="5" t="str">
        <f>"2149895000004"</f>
        <v>2149895000004</v>
      </c>
      <c r="B226" s="2" t="s">
        <v>784</v>
      </c>
      <c r="C226" s="2" t="s">
        <v>785</v>
      </c>
      <c r="D226" s="5" t="s">
        <v>15</v>
      </c>
      <c r="E226" s="5" t="s">
        <v>16</v>
      </c>
      <c r="F226" s="5" t="s">
        <v>17</v>
      </c>
      <c r="G226" s="5" t="s">
        <v>18</v>
      </c>
      <c r="H226" s="3"/>
      <c r="I226" s="3"/>
      <c r="J226" s="3"/>
      <c r="K226" s="5" t="s">
        <v>19</v>
      </c>
      <c r="L226" s="5">
        <v>25.45</v>
      </c>
      <c r="M226" s="2" t="s">
        <v>786</v>
      </c>
    </row>
    <row r="227" spans="1:13" x14ac:dyDescent="0.25">
      <c r="A227" s="5" t="str">
        <f>"3073781190946"</f>
        <v>3073781190946</v>
      </c>
      <c r="B227" s="2" t="s">
        <v>787</v>
      </c>
      <c r="C227" s="2" t="s">
        <v>788</v>
      </c>
      <c r="D227" s="5" t="s">
        <v>15</v>
      </c>
      <c r="E227" s="5" t="s">
        <v>16</v>
      </c>
      <c r="F227" s="5" t="s">
        <v>17</v>
      </c>
      <c r="G227" s="5" t="s">
        <v>18</v>
      </c>
      <c r="H227" s="3" t="s">
        <v>87</v>
      </c>
      <c r="I227" s="3"/>
      <c r="J227" s="3"/>
      <c r="K227" s="5" t="s">
        <v>23</v>
      </c>
      <c r="L227" s="5">
        <v>8.75</v>
      </c>
      <c r="M227" s="2" t="s">
        <v>789</v>
      </c>
    </row>
    <row r="228" spans="1:13" x14ac:dyDescent="0.25">
      <c r="A228" s="5" t="str">
        <f>"5740900403567"</f>
        <v>5740900403567</v>
      </c>
      <c r="B228" s="2" t="s">
        <v>790</v>
      </c>
      <c r="C228" s="2" t="s">
        <v>791</v>
      </c>
      <c r="D228" s="5" t="s">
        <v>15</v>
      </c>
      <c r="E228" s="5" t="s">
        <v>16</v>
      </c>
      <c r="F228" s="5" t="s">
        <v>17</v>
      </c>
      <c r="G228" s="5" t="s">
        <v>18</v>
      </c>
      <c r="H228" s="3" t="s">
        <v>173</v>
      </c>
      <c r="I228" s="3" t="s">
        <v>174</v>
      </c>
      <c r="J228" s="3" t="s">
        <v>28</v>
      </c>
      <c r="K228" s="5" t="s">
        <v>23</v>
      </c>
      <c r="L228" s="5">
        <v>15.95</v>
      </c>
      <c r="M228" s="2" t="s">
        <v>792</v>
      </c>
    </row>
    <row r="229" spans="1:13" x14ac:dyDescent="0.25">
      <c r="A229" s="5" t="str">
        <f>"6281018120322"</f>
        <v>6281018120322</v>
      </c>
      <c r="B229" s="2" t="s">
        <v>793</v>
      </c>
      <c r="C229" s="2" t="s">
        <v>794</v>
      </c>
      <c r="D229" s="5" t="s">
        <v>15</v>
      </c>
      <c r="E229" s="5" t="s">
        <v>16</v>
      </c>
      <c r="F229" s="5" t="s">
        <v>17</v>
      </c>
      <c r="G229" s="5" t="s">
        <v>18</v>
      </c>
      <c r="H229" s="3" t="s">
        <v>67</v>
      </c>
      <c r="I229" s="3"/>
      <c r="J229" s="3"/>
      <c r="K229" s="5" t="s">
        <v>23</v>
      </c>
      <c r="L229" s="5">
        <v>14.5</v>
      </c>
      <c r="M229" s="2" t="s">
        <v>795</v>
      </c>
    </row>
    <row r="230" spans="1:13" x14ac:dyDescent="0.25">
      <c r="A230" s="5" t="str">
        <f>"6281007035095"</f>
        <v>6281007035095</v>
      </c>
      <c r="B230" s="2" t="s">
        <v>796</v>
      </c>
      <c r="C230" s="2" t="s">
        <v>797</v>
      </c>
      <c r="D230" s="5" t="s">
        <v>15</v>
      </c>
      <c r="E230" s="5" t="s">
        <v>16</v>
      </c>
      <c r="F230" s="5" t="s">
        <v>17</v>
      </c>
      <c r="G230" s="5" t="s">
        <v>18</v>
      </c>
      <c r="H230" s="3" t="s">
        <v>32</v>
      </c>
      <c r="I230" s="3" t="s">
        <v>33</v>
      </c>
      <c r="J230" s="3" t="s">
        <v>798</v>
      </c>
      <c r="K230" s="5" t="s">
        <v>23</v>
      </c>
      <c r="L230" s="5">
        <v>60.75</v>
      </c>
      <c r="M230" s="2" t="s">
        <v>799</v>
      </c>
    </row>
    <row r="231" spans="1:13" x14ac:dyDescent="0.25">
      <c r="A231" s="5" t="str">
        <f>"2140345000001"</f>
        <v>2140345000001</v>
      </c>
      <c r="B231" s="2" t="s">
        <v>800</v>
      </c>
      <c r="C231" s="2" t="s">
        <v>801</v>
      </c>
      <c r="D231" s="5" t="s">
        <v>15</v>
      </c>
      <c r="E231" s="5" t="s">
        <v>16</v>
      </c>
      <c r="F231" s="5" t="s">
        <v>17</v>
      </c>
      <c r="G231" s="5" t="s">
        <v>18</v>
      </c>
      <c r="H231" s="3"/>
      <c r="I231" s="3"/>
      <c r="J231" s="3"/>
      <c r="K231" s="5" t="s">
        <v>19</v>
      </c>
      <c r="L231" s="5">
        <v>93.95</v>
      </c>
      <c r="M231" s="2" t="s">
        <v>802</v>
      </c>
    </row>
    <row r="232" spans="1:13" x14ac:dyDescent="0.25">
      <c r="A232" s="5" t="str">
        <f>"5700426230153"</f>
        <v>5700426230153</v>
      </c>
      <c r="B232" s="2" t="s">
        <v>803</v>
      </c>
      <c r="C232" s="2" t="s">
        <v>804</v>
      </c>
      <c r="D232" s="5" t="s">
        <v>15</v>
      </c>
      <c r="E232" s="5" t="s">
        <v>16</v>
      </c>
      <c r="F232" s="5" t="s">
        <v>17</v>
      </c>
      <c r="G232" s="5" t="s">
        <v>18</v>
      </c>
      <c r="H232" s="3" t="s">
        <v>27</v>
      </c>
      <c r="I232" s="3" t="s">
        <v>174</v>
      </c>
      <c r="J232" s="3" t="s">
        <v>238</v>
      </c>
      <c r="K232" s="5" t="s">
        <v>23</v>
      </c>
      <c r="L232" s="5">
        <v>26.95</v>
      </c>
      <c r="M232" s="2" t="s">
        <v>805</v>
      </c>
    </row>
    <row r="233" spans="1:13" x14ac:dyDescent="0.25">
      <c r="A233" s="5" t="str">
        <f>"5411188081852"</f>
        <v>5411188081852</v>
      </c>
      <c r="B233" s="2" t="s">
        <v>806</v>
      </c>
      <c r="C233" s="2" t="s">
        <v>807</v>
      </c>
      <c r="D233" s="5" t="s">
        <v>15</v>
      </c>
      <c r="E233" s="5" t="s">
        <v>16</v>
      </c>
      <c r="F233" s="5" t="s">
        <v>17</v>
      </c>
      <c r="G233" s="5" t="s">
        <v>18</v>
      </c>
      <c r="H233" s="3" t="s">
        <v>230</v>
      </c>
      <c r="I233" s="3"/>
      <c r="J233" s="3" t="s">
        <v>808</v>
      </c>
      <c r="K233" s="5" t="s">
        <v>23</v>
      </c>
      <c r="L233" s="5">
        <v>27</v>
      </c>
      <c r="M233" s="2" t="s">
        <v>809</v>
      </c>
    </row>
    <row r="234" spans="1:13" x14ac:dyDescent="0.25">
      <c r="A234" s="5" t="str">
        <f>"5711953164088"</f>
        <v>5711953164088</v>
      </c>
      <c r="B234" s="2" t="s">
        <v>810</v>
      </c>
      <c r="C234" s="2" t="s">
        <v>811</v>
      </c>
      <c r="D234" s="5" t="s">
        <v>15</v>
      </c>
      <c r="E234" s="5" t="s">
        <v>16</v>
      </c>
      <c r="F234" s="5" t="s">
        <v>17</v>
      </c>
      <c r="G234" s="5" t="s">
        <v>18</v>
      </c>
      <c r="H234" s="3" t="s">
        <v>27</v>
      </c>
      <c r="I234" s="3" t="s">
        <v>174</v>
      </c>
      <c r="J234" s="3" t="s">
        <v>812</v>
      </c>
      <c r="K234" s="5" t="s">
        <v>23</v>
      </c>
      <c r="L234" s="5">
        <v>11.75</v>
      </c>
      <c r="M234" s="2" t="s">
        <v>813</v>
      </c>
    </row>
    <row r="235" spans="1:13" x14ac:dyDescent="0.25">
      <c r="A235" s="5" t="str">
        <f>"2143836000009"</f>
        <v>2143836000009</v>
      </c>
      <c r="B235" s="2" t="s">
        <v>814</v>
      </c>
      <c r="C235" s="2" t="s">
        <v>815</v>
      </c>
      <c r="D235" s="5" t="s">
        <v>15</v>
      </c>
      <c r="E235" s="5" t="s">
        <v>16</v>
      </c>
      <c r="F235" s="5" t="s">
        <v>17</v>
      </c>
      <c r="G235" s="5" t="s">
        <v>18</v>
      </c>
      <c r="H235" s="3"/>
      <c r="I235" s="3"/>
      <c r="J235" s="3"/>
      <c r="K235" s="5" t="s">
        <v>19</v>
      </c>
      <c r="L235" s="5">
        <v>50.95</v>
      </c>
      <c r="M235" s="2" t="s">
        <v>816</v>
      </c>
    </row>
    <row r="236" spans="1:13" x14ac:dyDescent="0.25">
      <c r="A236" s="5" t="str">
        <f>"2140360000000"</f>
        <v>2140360000000</v>
      </c>
      <c r="B236" s="2" t="s">
        <v>817</v>
      </c>
      <c r="C236" s="2" t="s">
        <v>818</v>
      </c>
      <c r="D236" s="5" t="s">
        <v>15</v>
      </c>
      <c r="E236" s="5" t="s">
        <v>16</v>
      </c>
      <c r="F236" s="5" t="s">
        <v>17</v>
      </c>
      <c r="G236" s="5" t="s">
        <v>18</v>
      </c>
      <c r="H236" s="3" t="s">
        <v>819</v>
      </c>
      <c r="I236" s="3"/>
      <c r="J236" s="3"/>
      <c r="K236" s="5" t="s">
        <v>19</v>
      </c>
      <c r="L236" s="5">
        <v>69.95</v>
      </c>
      <c r="M236" s="2" t="s">
        <v>820</v>
      </c>
    </row>
    <row r="237" spans="1:13" x14ac:dyDescent="0.25">
      <c r="A237" s="5" t="str">
        <f>"6281007041188"</f>
        <v>6281007041188</v>
      </c>
      <c r="B237" s="2" t="s">
        <v>821</v>
      </c>
      <c r="C237" s="2" t="s">
        <v>822</v>
      </c>
      <c r="D237" s="5" t="s">
        <v>15</v>
      </c>
      <c r="E237" s="5" t="s">
        <v>16</v>
      </c>
      <c r="F237" s="5" t="s">
        <v>17</v>
      </c>
      <c r="G237" s="5" t="s">
        <v>18</v>
      </c>
      <c r="H237" s="3" t="s">
        <v>32</v>
      </c>
      <c r="I237" s="3"/>
      <c r="J237" s="3"/>
      <c r="K237" s="5" t="s">
        <v>23</v>
      </c>
      <c r="L237" s="5">
        <v>9.9499999999999993</v>
      </c>
      <c r="M237" s="2" t="s">
        <v>823</v>
      </c>
    </row>
    <row r="238" spans="1:13" x14ac:dyDescent="0.25">
      <c r="A238" s="5" t="str">
        <f>"5760466732567"</f>
        <v>5760466732567</v>
      </c>
      <c r="B238" s="2" t="s">
        <v>824</v>
      </c>
      <c r="C238" s="2" t="s">
        <v>825</v>
      </c>
      <c r="D238" s="5" t="s">
        <v>15</v>
      </c>
      <c r="E238" s="5" t="s">
        <v>16</v>
      </c>
      <c r="F238" s="5" t="s">
        <v>17</v>
      </c>
      <c r="G238" s="5" t="s">
        <v>18</v>
      </c>
      <c r="H238" s="3" t="s">
        <v>27</v>
      </c>
      <c r="I238" s="3" t="s">
        <v>174</v>
      </c>
      <c r="J238" s="3" t="s">
        <v>28</v>
      </c>
      <c r="K238" s="5" t="s">
        <v>23</v>
      </c>
      <c r="L238" s="5">
        <v>13</v>
      </c>
      <c r="M238" s="2" t="s">
        <v>826</v>
      </c>
    </row>
    <row r="239" spans="1:13" x14ac:dyDescent="0.25">
      <c r="A239" s="5" t="str">
        <f>"6281057004126"</f>
        <v>6281057004126</v>
      </c>
      <c r="B239" s="2" t="s">
        <v>827</v>
      </c>
      <c r="C239" s="2" t="s">
        <v>828</v>
      </c>
      <c r="D239" s="5" t="s">
        <v>15</v>
      </c>
      <c r="E239" s="5" t="s">
        <v>16</v>
      </c>
      <c r="F239" s="5" t="s">
        <v>17</v>
      </c>
      <c r="G239" s="5" t="s">
        <v>18</v>
      </c>
      <c r="H239" s="3" t="s">
        <v>44</v>
      </c>
      <c r="I239" s="3"/>
      <c r="J239" s="3"/>
      <c r="K239" s="5" t="s">
        <v>23</v>
      </c>
      <c r="L239" s="5">
        <v>8.5</v>
      </c>
      <c r="M239" s="2" t="s">
        <v>829</v>
      </c>
    </row>
    <row r="240" spans="1:13" x14ac:dyDescent="0.25">
      <c r="A240" s="5" t="str">
        <f>"2140701000003"</f>
        <v>2140701000003</v>
      </c>
      <c r="B240" s="2" t="s">
        <v>830</v>
      </c>
      <c r="C240" s="2" t="s">
        <v>831</v>
      </c>
      <c r="D240" s="5" t="s">
        <v>15</v>
      </c>
      <c r="E240" s="5" t="s">
        <v>16</v>
      </c>
      <c r="F240" s="5" t="s">
        <v>17</v>
      </c>
      <c r="G240" s="5" t="s">
        <v>18</v>
      </c>
      <c r="H240" s="3"/>
      <c r="I240" s="3"/>
      <c r="J240" s="3"/>
      <c r="K240" s="5" t="s">
        <v>19</v>
      </c>
      <c r="L240" s="5">
        <v>76.95</v>
      </c>
      <c r="M240" s="2" t="s">
        <v>832</v>
      </c>
    </row>
    <row r="241" spans="1:13" x14ac:dyDescent="0.25">
      <c r="A241" s="5" t="str">
        <f>"6084012090192"</f>
        <v>6084012090192</v>
      </c>
      <c r="B241" s="2" t="s">
        <v>833</v>
      </c>
      <c r="C241" s="2" t="s">
        <v>834</v>
      </c>
      <c r="D241" s="5" t="s">
        <v>15</v>
      </c>
      <c r="E241" s="5" t="s">
        <v>16</v>
      </c>
      <c r="F241" s="5" t="s">
        <v>17</v>
      </c>
      <c r="G241" s="5" t="s">
        <v>18</v>
      </c>
      <c r="H241" s="3" t="s">
        <v>206</v>
      </c>
      <c r="I241" s="3"/>
      <c r="J241" s="3"/>
      <c r="K241" s="5" t="s">
        <v>23</v>
      </c>
      <c r="L241" s="5">
        <v>11.95</v>
      </c>
      <c r="M241" s="2" t="s">
        <v>835</v>
      </c>
    </row>
    <row r="242" spans="1:13" x14ac:dyDescent="0.25">
      <c r="A242" s="5" t="str">
        <f>"6281007032315"</f>
        <v>6281007032315</v>
      </c>
      <c r="B242" s="2" t="s">
        <v>836</v>
      </c>
      <c r="C242" s="2" t="s">
        <v>837</v>
      </c>
      <c r="D242" s="5" t="s">
        <v>15</v>
      </c>
      <c r="E242" s="5" t="s">
        <v>16</v>
      </c>
      <c r="F242" s="5" t="s">
        <v>17</v>
      </c>
      <c r="G242" s="5" t="s">
        <v>18</v>
      </c>
      <c r="H242" s="3" t="s">
        <v>32</v>
      </c>
      <c r="I242" s="3"/>
      <c r="J242" s="3" t="s">
        <v>838</v>
      </c>
      <c r="K242" s="5" t="s">
        <v>23</v>
      </c>
      <c r="L242" s="5">
        <v>77.25</v>
      </c>
      <c r="M242" s="2" t="s">
        <v>839</v>
      </c>
    </row>
    <row r="243" spans="1:13" x14ac:dyDescent="0.25">
      <c r="A243" s="5" t="str">
        <f>"5760466852166"</f>
        <v>5760466852166</v>
      </c>
      <c r="B243" s="2" t="s">
        <v>840</v>
      </c>
      <c r="C243" s="2" t="s">
        <v>841</v>
      </c>
      <c r="D243" s="5" t="s">
        <v>15</v>
      </c>
      <c r="E243" s="5" t="s">
        <v>16</v>
      </c>
      <c r="F243" s="5" t="s">
        <v>17</v>
      </c>
      <c r="G243" s="5" t="s">
        <v>18</v>
      </c>
      <c r="H243" s="3" t="s">
        <v>27</v>
      </c>
      <c r="I243" s="3"/>
      <c r="J243" s="3" t="s">
        <v>28</v>
      </c>
      <c r="K243" s="5" t="s">
        <v>23</v>
      </c>
      <c r="L243" s="5">
        <v>13</v>
      </c>
      <c r="M243" s="2" t="s">
        <v>842</v>
      </c>
    </row>
    <row r="244" spans="1:13" x14ac:dyDescent="0.25">
      <c r="A244" s="5" t="str">
        <f>"6281007032285"</f>
        <v>6281007032285</v>
      </c>
      <c r="B244" s="2" t="s">
        <v>843</v>
      </c>
      <c r="C244" s="2" t="s">
        <v>844</v>
      </c>
      <c r="D244" s="5" t="s">
        <v>15</v>
      </c>
      <c r="E244" s="5" t="s">
        <v>16</v>
      </c>
      <c r="F244" s="5" t="s">
        <v>17</v>
      </c>
      <c r="G244" s="5" t="s">
        <v>18</v>
      </c>
      <c r="H244" s="3" t="s">
        <v>32</v>
      </c>
      <c r="I244" s="3" t="s">
        <v>33</v>
      </c>
      <c r="J244" s="3" t="s">
        <v>808</v>
      </c>
      <c r="K244" s="5" t="s">
        <v>23</v>
      </c>
      <c r="L244" s="5">
        <v>6.5</v>
      </c>
      <c r="M244" s="2" t="s">
        <v>845</v>
      </c>
    </row>
    <row r="245" spans="1:13" x14ac:dyDescent="0.25">
      <c r="A245" s="5" t="str">
        <f>"6297000670249"</f>
        <v>6297000670249</v>
      </c>
      <c r="B245" s="2" t="s">
        <v>846</v>
      </c>
      <c r="C245" s="2" t="s">
        <v>847</v>
      </c>
      <c r="D245" s="5" t="s">
        <v>15</v>
      </c>
      <c r="E245" s="5" t="s">
        <v>16</v>
      </c>
      <c r="F245" s="5" t="s">
        <v>17</v>
      </c>
      <c r="G245" s="5" t="s">
        <v>18</v>
      </c>
      <c r="H245" s="3" t="s">
        <v>539</v>
      </c>
      <c r="I245" s="3"/>
      <c r="J245" s="3" t="s">
        <v>126</v>
      </c>
      <c r="K245" s="5" t="s">
        <v>23</v>
      </c>
      <c r="L245" s="5">
        <v>15.95</v>
      </c>
      <c r="M245" s="2" t="s">
        <v>848</v>
      </c>
    </row>
    <row r="246" spans="1:13" x14ac:dyDescent="0.25">
      <c r="A246" s="5" t="str">
        <f>"6281057006472"</f>
        <v>6281057006472</v>
      </c>
      <c r="B246" s="2" t="s">
        <v>849</v>
      </c>
      <c r="C246" s="2" t="s">
        <v>850</v>
      </c>
      <c r="D246" s="5" t="s">
        <v>15</v>
      </c>
      <c r="E246" s="5" t="s">
        <v>16</v>
      </c>
      <c r="F246" s="5" t="s">
        <v>17</v>
      </c>
      <c r="G246" s="5" t="s">
        <v>18</v>
      </c>
      <c r="H246" s="3" t="s">
        <v>44</v>
      </c>
      <c r="I246" s="3"/>
      <c r="J246" s="3"/>
      <c r="K246" s="5" t="s">
        <v>23</v>
      </c>
      <c r="L246" s="5">
        <v>10.95</v>
      </c>
      <c r="M246" s="2" t="s">
        <v>851</v>
      </c>
    </row>
    <row r="247" spans="1:13" x14ac:dyDescent="0.25">
      <c r="A247" s="5" t="str">
        <f>"6281022153330"</f>
        <v>6281022153330</v>
      </c>
      <c r="B247" s="2" t="s">
        <v>852</v>
      </c>
      <c r="C247" s="2" t="s">
        <v>853</v>
      </c>
      <c r="D247" s="5" t="s">
        <v>15</v>
      </c>
      <c r="E247" s="5" t="s">
        <v>16</v>
      </c>
      <c r="F247" s="5" t="s">
        <v>17</v>
      </c>
      <c r="G247" s="5" t="s">
        <v>18</v>
      </c>
      <c r="H247" s="3"/>
      <c r="I247" s="3"/>
      <c r="J247" s="3"/>
      <c r="K247" s="5" t="s">
        <v>23</v>
      </c>
      <c r="L247" s="5">
        <v>37.25</v>
      </c>
      <c r="M247" s="2" t="s">
        <v>854</v>
      </c>
    </row>
    <row r="248" spans="1:13" x14ac:dyDescent="0.25">
      <c r="A248" s="5" t="str">
        <f>"6281007303989"</f>
        <v>6281007303989</v>
      </c>
      <c r="B248" s="2" t="s">
        <v>855</v>
      </c>
      <c r="C248" s="2" t="s">
        <v>856</v>
      </c>
      <c r="D248" s="5" t="s">
        <v>15</v>
      </c>
      <c r="E248" s="5" t="s">
        <v>16</v>
      </c>
      <c r="F248" s="5" t="s">
        <v>17</v>
      </c>
      <c r="G248" s="5" t="s">
        <v>18</v>
      </c>
      <c r="H248" s="3" t="s">
        <v>32</v>
      </c>
      <c r="I248" s="3" t="s">
        <v>33</v>
      </c>
      <c r="J248" s="3" t="s">
        <v>857</v>
      </c>
      <c r="K248" s="5" t="s">
        <v>23</v>
      </c>
      <c r="L248" s="5">
        <v>23.25</v>
      </c>
      <c r="M248" s="2" t="s">
        <v>858</v>
      </c>
    </row>
    <row r="249" spans="1:13" x14ac:dyDescent="0.25">
      <c r="A249" s="5" t="str">
        <f>"6281022130393"</f>
        <v>6281022130393</v>
      </c>
      <c r="B249" s="2" t="s">
        <v>859</v>
      </c>
      <c r="C249" s="2" t="s">
        <v>860</v>
      </c>
      <c r="D249" s="5" t="s">
        <v>15</v>
      </c>
      <c r="E249" s="5" t="s">
        <v>16</v>
      </c>
      <c r="F249" s="5" t="s">
        <v>17</v>
      </c>
      <c r="G249" s="5" t="s">
        <v>18</v>
      </c>
      <c r="H249" s="3"/>
      <c r="I249" s="3"/>
      <c r="J249" s="3"/>
      <c r="K249" s="5" t="s">
        <v>23</v>
      </c>
      <c r="L249" s="5">
        <v>2</v>
      </c>
      <c r="M249" s="2" t="s">
        <v>861</v>
      </c>
    </row>
    <row r="250" spans="1:13" x14ac:dyDescent="0.25">
      <c r="A250" s="5" t="str">
        <f>"2140302000006"</f>
        <v>2140302000006</v>
      </c>
      <c r="B250" s="2" t="s">
        <v>862</v>
      </c>
      <c r="C250" s="2" t="s">
        <v>863</v>
      </c>
      <c r="D250" s="5" t="s">
        <v>15</v>
      </c>
      <c r="E250" s="5" t="s">
        <v>16</v>
      </c>
      <c r="F250" s="5" t="s">
        <v>17</v>
      </c>
      <c r="G250" s="5" t="s">
        <v>18</v>
      </c>
      <c r="H250" s="3"/>
      <c r="I250" s="3"/>
      <c r="J250" s="3"/>
      <c r="K250" s="5" t="s">
        <v>19</v>
      </c>
      <c r="L250" s="5">
        <v>21.95</v>
      </c>
      <c r="M250" s="2" t="s">
        <v>864</v>
      </c>
    </row>
    <row r="251" spans="1:13" x14ac:dyDescent="0.25">
      <c r="A251" s="5" t="str">
        <f>"2140487000006"</f>
        <v>2140487000006</v>
      </c>
      <c r="B251" s="2" t="s">
        <v>865</v>
      </c>
      <c r="C251" s="2" t="s">
        <v>866</v>
      </c>
      <c r="D251" s="5" t="s">
        <v>15</v>
      </c>
      <c r="E251" s="5" t="s">
        <v>16</v>
      </c>
      <c r="F251" s="5" t="s">
        <v>17</v>
      </c>
      <c r="G251" s="5" t="s">
        <v>18</v>
      </c>
      <c r="H251" s="3"/>
      <c r="I251" s="3"/>
      <c r="J251" s="3"/>
      <c r="K251" s="5" t="s">
        <v>19</v>
      </c>
      <c r="L251" s="5">
        <v>28.95</v>
      </c>
      <c r="M251" s="2" t="s">
        <v>867</v>
      </c>
    </row>
    <row r="252" spans="1:13" x14ac:dyDescent="0.25">
      <c r="A252" s="5" t="str">
        <f>"6281007169202"</f>
        <v>6281007169202</v>
      </c>
      <c r="B252" s="2" t="s">
        <v>868</v>
      </c>
      <c r="C252" s="2" t="s">
        <v>869</v>
      </c>
      <c r="D252" s="5" t="s">
        <v>15</v>
      </c>
      <c r="E252" s="5" t="s">
        <v>16</v>
      </c>
      <c r="F252" s="5" t="s">
        <v>17</v>
      </c>
      <c r="G252" s="5" t="s">
        <v>18</v>
      </c>
      <c r="H252" s="3" t="s">
        <v>32</v>
      </c>
      <c r="I252" s="3"/>
      <c r="J252" s="3"/>
      <c r="K252" s="5" t="s">
        <v>23</v>
      </c>
      <c r="L252" s="5">
        <v>11.25</v>
      </c>
      <c r="M252" s="2" t="s">
        <v>870</v>
      </c>
    </row>
    <row r="253" spans="1:13" x14ac:dyDescent="0.25">
      <c r="A253" s="5" t="str">
        <f>"5711953032929"</f>
        <v>5711953032929</v>
      </c>
      <c r="B253" s="2" t="s">
        <v>871</v>
      </c>
      <c r="C253" s="2" t="s">
        <v>872</v>
      </c>
      <c r="D253" s="5" t="s">
        <v>15</v>
      </c>
      <c r="E253" s="5" t="s">
        <v>16</v>
      </c>
      <c r="F253" s="5" t="s">
        <v>17</v>
      </c>
      <c r="G253" s="5" t="s">
        <v>18</v>
      </c>
      <c r="H253" s="3" t="s">
        <v>27</v>
      </c>
      <c r="I253" s="3"/>
      <c r="J253" s="3" t="s">
        <v>371</v>
      </c>
      <c r="K253" s="5" t="s">
        <v>23</v>
      </c>
      <c r="L253" s="5">
        <v>17.5</v>
      </c>
      <c r="M253" s="2" t="s">
        <v>873</v>
      </c>
    </row>
    <row r="254" spans="1:13" x14ac:dyDescent="0.25">
      <c r="A254" s="5" t="str">
        <f>"6281007036214"</f>
        <v>6281007036214</v>
      </c>
      <c r="B254" s="2" t="s">
        <v>874</v>
      </c>
      <c r="C254" s="2" t="s">
        <v>875</v>
      </c>
      <c r="D254" s="5" t="s">
        <v>15</v>
      </c>
      <c r="E254" s="5" t="s">
        <v>16</v>
      </c>
      <c r="F254" s="5" t="s">
        <v>17</v>
      </c>
      <c r="G254" s="5" t="s">
        <v>18</v>
      </c>
      <c r="H254" s="3" t="s">
        <v>32</v>
      </c>
      <c r="I254" s="3" t="s">
        <v>33</v>
      </c>
      <c r="J254" s="3"/>
      <c r="K254" s="5" t="s">
        <v>23</v>
      </c>
      <c r="L254" s="5">
        <v>24.5</v>
      </c>
      <c r="M254" s="2" t="s">
        <v>876</v>
      </c>
    </row>
    <row r="255" spans="1:13" x14ac:dyDescent="0.25">
      <c r="A255" s="5" t="str">
        <f>"6281022118308"</f>
        <v>6281022118308</v>
      </c>
      <c r="B255" s="2" t="s">
        <v>877</v>
      </c>
      <c r="C255" s="2" t="s">
        <v>878</v>
      </c>
      <c r="D255" s="5" t="s">
        <v>15</v>
      </c>
      <c r="E255" s="5" t="s">
        <v>16</v>
      </c>
      <c r="F255" s="5" t="s">
        <v>17</v>
      </c>
      <c r="G255" s="5" t="s">
        <v>18</v>
      </c>
      <c r="H255" s="3" t="s">
        <v>59</v>
      </c>
      <c r="I255" s="3" t="s">
        <v>723</v>
      </c>
      <c r="J255" s="3" t="s">
        <v>879</v>
      </c>
      <c r="K255" s="5" t="s">
        <v>23</v>
      </c>
      <c r="L255" s="5">
        <v>2.5</v>
      </c>
      <c r="M255" s="2" t="s">
        <v>880</v>
      </c>
    </row>
    <row r="256" spans="1:13" x14ac:dyDescent="0.25">
      <c r="A256" s="5" t="str">
        <f>"6281007037112"</f>
        <v>6281007037112</v>
      </c>
      <c r="B256" s="2" t="s">
        <v>881</v>
      </c>
      <c r="C256" s="2" t="s">
        <v>882</v>
      </c>
      <c r="D256" s="5" t="s">
        <v>15</v>
      </c>
      <c r="E256" s="5" t="s">
        <v>16</v>
      </c>
      <c r="F256" s="5" t="s">
        <v>17</v>
      </c>
      <c r="G256" s="5" t="s">
        <v>18</v>
      </c>
      <c r="H256" s="3" t="s">
        <v>32</v>
      </c>
      <c r="I256" s="3"/>
      <c r="J256" s="3"/>
      <c r="K256" s="5" t="s">
        <v>23</v>
      </c>
      <c r="L256" s="5">
        <v>19.95</v>
      </c>
      <c r="M256" s="2" t="s">
        <v>883</v>
      </c>
    </row>
    <row r="257" spans="1:13" x14ac:dyDescent="0.25">
      <c r="A257" s="5" t="str">
        <f>"6281007023504"</f>
        <v>6281007023504</v>
      </c>
      <c r="B257" s="2" t="s">
        <v>884</v>
      </c>
      <c r="C257" s="2" t="s">
        <v>885</v>
      </c>
      <c r="D257" s="5" t="s">
        <v>15</v>
      </c>
      <c r="E257" s="5" t="s">
        <v>16</v>
      </c>
      <c r="F257" s="5" t="s">
        <v>17</v>
      </c>
      <c r="G257" s="5" t="s">
        <v>18</v>
      </c>
      <c r="H257" s="3" t="s">
        <v>32</v>
      </c>
      <c r="I257" s="3" t="s">
        <v>33</v>
      </c>
      <c r="J257" s="3"/>
      <c r="K257" s="5" t="s">
        <v>23</v>
      </c>
      <c r="L257" s="5">
        <v>2</v>
      </c>
      <c r="M257" s="2" t="s">
        <v>886</v>
      </c>
    </row>
    <row r="258" spans="1:13" x14ac:dyDescent="0.25">
      <c r="A258" s="5" t="str">
        <f>"21438000073"</f>
        <v>21438000073</v>
      </c>
      <c r="B258" s="2" t="s">
        <v>887</v>
      </c>
      <c r="C258" s="2" t="s">
        <v>888</v>
      </c>
      <c r="D258" s="5" t="s">
        <v>15</v>
      </c>
      <c r="E258" s="5" t="s">
        <v>16</v>
      </c>
      <c r="F258" s="5" t="s">
        <v>17</v>
      </c>
      <c r="G258" s="5" t="s">
        <v>18</v>
      </c>
      <c r="H258" s="3" t="s">
        <v>889</v>
      </c>
      <c r="I258" s="3"/>
      <c r="J258" s="3"/>
      <c r="K258" s="5" t="s">
        <v>23</v>
      </c>
      <c r="L258" s="5">
        <v>16.25</v>
      </c>
      <c r="M258" s="2" t="s">
        <v>890</v>
      </c>
    </row>
    <row r="259" spans="1:13" x14ac:dyDescent="0.25">
      <c r="A259" s="5" t="str">
        <f>"6281024110737"</f>
        <v>6281024110737</v>
      </c>
      <c r="B259" s="2" t="s">
        <v>891</v>
      </c>
      <c r="C259" s="2" t="s">
        <v>892</v>
      </c>
      <c r="D259" s="5" t="s">
        <v>15</v>
      </c>
      <c r="E259" s="5" t="s">
        <v>16</v>
      </c>
      <c r="F259" s="5" t="s">
        <v>17</v>
      </c>
      <c r="G259" s="5" t="s">
        <v>18</v>
      </c>
      <c r="H259" s="3" t="s">
        <v>107</v>
      </c>
      <c r="I259" s="3" t="s">
        <v>33</v>
      </c>
      <c r="J259" s="3" t="s">
        <v>126</v>
      </c>
      <c r="K259" s="5" t="s">
        <v>23</v>
      </c>
      <c r="L259" s="5">
        <v>35.5</v>
      </c>
      <c r="M259" s="2" t="s">
        <v>893</v>
      </c>
    </row>
    <row r="260" spans="1:13" x14ac:dyDescent="0.25">
      <c r="A260" s="5" t="str">
        <f>"6281007046077"</f>
        <v>6281007046077</v>
      </c>
      <c r="B260" s="2" t="s">
        <v>894</v>
      </c>
      <c r="C260" s="2" t="s">
        <v>895</v>
      </c>
      <c r="D260" s="5" t="s">
        <v>15</v>
      </c>
      <c r="E260" s="5" t="s">
        <v>16</v>
      </c>
      <c r="F260" s="5" t="s">
        <v>17</v>
      </c>
      <c r="G260" s="5" t="s">
        <v>18</v>
      </c>
      <c r="H260" s="3" t="s">
        <v>32</v>
      </c>
      <c r="I260" s="3" t="s">
        <v>33</v>
      </c>
      <c r="J260" s="3" t="s">
        <v>896</v>
      </c>
      <c r="K260" s="5" t="s">
        <v>23</v>
      </c>
      <c r="L260" s="5">
        <v>7.75</v>
      </c>
      <c r="M260" s="2" t="s">
        <v>897</v>
      </c>
    </row>
    <row r="261" spans="1:13" x14ac:dyDescent="0.25">
      <c r="A261" s="5" t="str">
        <f>"6281007033176"</f>
        <v>6281007033176</v>
      </c>
      <c r="B261" s="2" t="s">
        <v>898</v>
      </c>
      <c r="C261" s="2" t="s">
        <v>899</v>
      </c>
      <c r="D261" s="5" t="s">
        <v>15</v>
      </c>
      <c r="E261" s="5" t="s">
        <v>16</v>
      </c>
      <c r="F261" s="5" t="s">
        <v>17</v>
      </c>
      <c r="G261" s="5" t="s">
        <v>18</v>
      </c>
      <c r="H261" s="3" t="s">
        <v>32</v>
      </c>
      <c r="I261" s="3" t="s">
        <v>33</v>
      </c>
      <c r="J261" s="3" t="s">
        <v>28</v>
      </c>
      <c r="K261" s="5" t="s">
        <v>23</v>
      </c>
      <c r="L261" s="5">
        <v>17.5</v>
      </c>
      <c r="M261" s="2" t="s">
        <v>900</v>
      </c>
    </row>
    <row r="262" spans="1:13" x14ac:dyDescent="0.25">
      <c r="A262" s="5" t="str">
        <f>"6281007070577"</f>
        <v>6281007070577</v>
      </c>
      <c r="B262" s="2" t="s">
        <v>901</v>
      </c>
      <c r="C262" s="2" t="s">
        <v>902</v>
      </c>
      <c r="D262" s="5" t="s">
        <v>15</v>
      </c>
      <c r="E262" s="5" t="s">
        <v>16</v>
      </c>
      <c r="F262" s="5" t="s">
        <v>17</v>
      </c>
      <c r="G262" s="5" t="s">
        <v>18</v>
      </c>
      <c r="H262" s="3" t="s">
        <v>32</v>
      </c>
      <c r="I262" s="3"/>
      <c r="J262" s="3" t="s">
        <v>28</v>
      </c>
      <c r="K262" s="5" t="s">
        <v>23</v>
      </c>
      <c r="L262" s="5">
        <v>16.95</v>
      </c>
      <c r="M262" s="2" t="s">
        <v>903</v>
      </c>
    </row>
    <row r="263" spans="1:13" x14ac:dyDescent="0.25">
      <c r="A263" s="5" t="str">
        <f>"6281022180312"</f>
        <v>6281022180312</v>
      </c>
      <c r="B263" s="2" t="s">
        <v>904</v>
      </c>
      <c r="C263" s="2" t="s">
        <v>905</v>
      </c>
      <c r="D263" s="5" t="s">
        <v>15</v>
      </c>
      <c r="E263" s="5" t="s">
        <v>16</v>
      </c>
      <c r="F263" s="5" t="s">
        <v>17</v>
      </c>
      <c r="G263" s="5" t="s">
        <v>18</v>
      </c>
      <c r="H263" s="3"/>
      <c r="I263" s="3" t="s">
        <v>33</v>
      </c>
      <c r="J263" s="3" t="s">
        <v>238</v>
      </c>
      <c r="K263" s="5" t="s">
        <v>23</v>
      </c>
      <c r="L263" s="5">
        <v>6.5</v>
      </c>
      <c r="M263" s="2" t="s">
        <v>906</v>
      </c>
    </row>
    <row r="264" spans="1:13" x14ac:dyDescent="0.25">
      <c r="A264" s="5" t="str">
        <f>"6281100504009"</f>
        <v>6281100504009</v>
      </c>
      <c r="B264" s="2" t="s">
        <v>907</v>
      </c>
      <c r="C264" s="2" t="s">
        <v>908</v>
      </c>
      <c r="D264" s="5" t="s">
        <v>15</v>
      </c>
      <c r="E264" s="5" t="s">
        <v>16</v>
      </c>
      <c r="F264" s="5" t="s">
        <v>17</v>
      </c>
      <c r="G264" s="5" t="s">
        <v>18</v>
      </c>
      <c r="H264" s="3" t="s">
        <v>466</v>
      </c>
      <c r="I264" s="3"/>
      <c r="J264" s="3"/>
      <c r="K264" s="5" t="s">
        <v>23</v>
      </c>
      <c r="L264" s="5">
        <v>19.75</v>
      </c>
      <c r="M264" s="2" t="s">
        <v>909</v>
      </c>
    </row>
    <row r="265" spans="1:13" x14ac:dyDescent="0.25">
      <c r="A265" s="5" t="str">
        <f>"6281100503835"</f>
        <v>6281100503835</v>
      </c>
      <c r="B265" s="2" t="s">
        <v>910</v>
      </c>
      <c r="C265" s="2" t="s">
        <v>911</v>
      </c>
      <c r="D265" s="5" t="s">
        <v>15</v>
      </c>
      <c r="E265" s="5" t="s">
        <v>16</v>
      </c>
      <c r="F265" s="5" t="s">
        <v>17</v>
      </c>
      <c r="G265" s="5" t="s">
        <v>18</v>
      </c>
      <c r="H265" s="3" t="s">
        <v>466</v>
      </c>
      <c r="I265" s="3"/>
      <c r="J265" s="3"/>
      <c r="K265" s="5" t="s">
        <v>23</v>
      </c>
      <c r="L265" s="5">
        <v>26.75</v>
      </c>
      <c r="M265" s="2" t="s">
        <v>912</v>
      </c>
    </row>
    <row r="266" spans="1:13" x14ac:dyDescent="0.25">
      <c r="A266" s="5" t="str">
        <f>"8710912008767"</f>
        <v>8710912008767</v>
      </c>
      <c r="B266" s="2" t="s">
        <v>913</v>
      </c>
      <c r="C266" s="2" t="s">
        <v>914</v>
      </c>
      <c r="D266" s="5" t="s">
        <v>15</v>
      </c>
      <c r="E266" s="5" t="s">
        <v>16</v>
      </c>
      <c r="F266" s="5" t="s">
        <v>17</v>
      </c>
      <c r="G266" s="5" t="s">
        <v>18</v>
      </c>
      <c r="H266" s="3" t="s">
        <v>819</v>
      </c>
      <c r="I266" s="3" t="s">
        <v>345</v>
      </c>
      <c r="J266" s="3" t="s">
        <v>915</v>
      </c>
      <c r="K266" s="5" t="s">
        <v>23</v>
      </c>
      <c r="L266" s="5">
        <v>22.25</v>
      </c>
      <c r="M266" s="2" t="s">
        <v>916</v>
      </c>
    </row>
    <row r="267" spans="1:13" x14ac:dyDescent="0.25">
      <c r="A267" s="5" t="str">
        <f>"6281007032728"</f>
        <v>6281007032728</v>
      </c>
      <c r="B267" s="2" t="s">
        <v>917</v>
      </c>
      <c r="C267" s="2" t="s">
        <v>918</v>
      </c>
      <c r="D267" s="5" t="s">
        <v>15</v>
      </c>
      <c r="E267" s="5" t="s">
        <v>16</v>
      </c>
      <c r="F267" s="5" t="s">
        <v>17</v>
      </c>
      <c r="G267" s="5" t="s">
        <v>18</v>
      </c>
      <c r="H267" s="3" t="s">
        <v>32</v>
      </c>
      <c r="I267" s="3"/>
      <c r="J267" s="3"/>
      <c r="K267" s="5" t="s">
        <v>23</v>
      </c>
      <c r="L267" s="5">
        <v>35.950000000000003</v>
      </c>
      <c r="M267" s="2" t="s">
        <v>919</v>
      </c>
    </row>
    <row r="268" spans="1:13" x14ac:dyDescent="0.25">
      <c r="A268" s="5" t="str">
        <f>"6281022132267"</f>
        <v>6281022132267</v>
      </c>
      <c r="B268" s="2" t="s">
        <v>920</v>
      </c>
      <c r="C268" s="2" t="s">
        <v>921</v>
      </c>
      <c r="D268" s="5" t="s">
        <v>15</v>
      </c>
      <c r="E268" s="5" t="s">
        <v>16</v>
      </c>
      <c r="F268" s="5" t="s">
        <v>17</v>
      </c>
      <c r="G268" s="5" t="s">
        <v>18</v>
      </c>
      <c r="H268" s="3"/>
      <c r="I268" s="3"/>
      <c r="J268" s="3"/>
      <c r="K268" s="5" t="s">
        <v>23</v>
      </c>
      <c r="L268" s="5">
        <v>15</v>
      </c>
      <c r="M268" s="2" t="s">
        <v>922</v>
      </c>
    </row>
    <row r="269" spans="1:13" x14ac:dyDescent="0.25">
      <c r="A269" s="5" t="str">
        <f>"6281007044431"</f>
        <v>6281007044431</v>
      </c>
      <c r="B269" s="2" t="s">
        <v>923</v>
      </c>
      <c r="C269" s="2" t="s">
        <v>924</v>
      </c>
      <c r="D269" s="5" t="s">
        <v>15</v>
      </c>
      <c r="E269" s="5" t="s">
        <v>16</v>
      </c>
      <c r="F269" s="5" t="s">
        <v>17</v>
      </c>
      <c r="G269" s="5" t="s">
        <v>18</v>
      </c>
      <c r="H269" s="3" t="s">
        <v>32</v>
      </c>
      <c r="I269" s="3"/>
      <c r="J269" s="3" t="s">
        <v>925</v>
      </c>
      <c r="K269" s="5" t="s">
        <v>23</v>
      </c>
      <c r="L269" s="5">
        <v>49</v>
      </c>
      <c r="M269" s="2" t="s">
        <v>926</v>
      </c>
    </row>
    <row r="270" spans="1:13" x14ac:dyDescent="0.25">
      <c r="A270" s="5" t="str">
        <f>"6281007063081"</f>
        <v>6281007063081</v>
      </c>
      <c r="B270" s="2" t="s">
        <v>927</v>
      </c>
      <c r="C270" s="2" t="s">
        <v>928</v>
      </c>
      <c r="D270" s="5" t="s">
        <v>15</v>
      </c>
      <c r="E270" s="5" t="s">
        <v>16</v>
      </c>
      <c r="F270" s="5" t="s">
        <v>17</v>
      </c>
      <c r="G270" s="5" t="s">
        <v>18</v>
      </c>
      <c r="H270" s="3" t="s">
        <v>32</v>
      </c>
      <c r="I270" s="3" t="s">
        <v>723</v>
      </c>
      <c r="J270" s="3" t="s">
        <v>354</v>
      </c>
      <c r="K270" s="5" t="s">
        <v>23</v>
      </c>
      <c r="L270" s="5">
        <v>14.5</v>
      </c>
      <c r="M270" s="2" t="s">
        <v>929</v>
      </c>
    </row>
    <row r="271" spans="1:13" x14ac:dyDescent="0.25">
      <c r="A271" s="5" t="str">
        <f>"5740900861305"</f>
        <v>5740900861305</v>
      </c>
      <c r="B271" s="2" t="s">
        <v>930</v>
      </c>
      <c r="C271" s="2" t="s">
        <v>931</v>
      </c>
      <c r="D271" s="5" t="s">
        <v>15</v>
      </c>
      <c r="E271" s="5" t="s">
        <v>16</v>
      </c>
      <c r="F271" s="5" t="s">
        <v>17</v>
      </c>
      <c r="G271" s="5" t="s">
        <v>18</v>
      </c>
      <c r="H271" s="3" t="s">
        <v>173</v>
      </c>
      <c r="I271" s="3"/>
      <c r="J271" s="3"/>
      <c r="K271" s="5" t="s">
        <v>23</v>
      </c>
      <c r="L271" s="5">
        <v>15.75</v>
      </c>
      <c r="M271" s="2" t="s">
        <v>932</v>
      </c>
    </row>
    <row r="272" spans="1:13" x14ac:dyDescent="0.25">
      <c r="A272" s="5" t="str">
        <f>"6281039122336"</f>
        <v>6281039122336</v>
      </c>
      <c r="B272" s="2" t="s">
        <v>933</v>
      </c>
      <c r="C272" s="2" t="s">
        <v>934</v>
      </c>
      <c r="D272" s="5" t="s">
        <v>15</v>
      </c>
      <c r="E272" s="5" t="s">
        <v>16</v>
      </c>
      <c r="F272" s="5" t="s">
        <v>17</v>
      </c>
      <c r="G272" s="5" t="s">
        <v>18</v>
      </c>
      <c r="H272" s="3" t="s">
        <v>146</v>
      </c>
      <c r="I272" s="3"/>
      <c r="J272" s="3"/>
      <c r="K272" s="5" t="s">
        <v>23</v>
      </c>
      <c r="L272" s="5">
        <v>49.5</v>
      </c>
      <c r="M272" s="2" t="s">
        <v>935</v>
      </c>
    </row>
    <row r="273" spans="1:13" x14ac:dyDescent="0.25">
      <c r="A273" s="5" t="str">
        <f>"6281022118421"</f>
        <v>6281022118421</v>
      </c>
      <c r="B273" s="2" t="s">
        <v>936</v>
      </c>
      <c r="C273" s="2" t="s">
        <v>937</v>
      </c>
      <c r="D273" s="5" t="s">
        <v>15</v>
      </c>
      <c r="E273" s="5" t="s">
        <v>16</v>
      </c>
      <c r="F273" s="5" t="s">
        <v>17</v>
      </c>
      <c r="G273" s="5" t="s">
        <v>18</v>
      </c>
      <c r="H273" s="3" t="s">
        <v>59</v>
      </c>
      <c r="I273" s="3" t="s">
        <v>108</v>
      </c>
      <c r="J273" s="3" t="s">
        <v>60</v>
      </c>
      <c r="K273" s="5" t="s">
        <v>23</v>
      </c>
      <c r="L273" s="5">
        <v>2.5</v>
      </c>
      <c r="M273" s="2" t="s">
        <v>938</v>
      </c>
    </row>
    <row r="274" spans="1:13" x14ac:dyDescent="0.25">
      <c r="A274" s="5" t="str">
        <f>"6281022118254"</f>
        <v>6281022118254</v>
      </c>
      <c r="B274" s="2" t="s">
        <v>939</v>
      </c>
      <c r="C274" s="2" t="s">
        <v>940</v>
      </c>
      <c r="D274" s="5" t="s">
        <v>15</v>
      </c>
      <c r="E274" s="5" t="s">
        <v>16</v>
      </c>
      <c r="F274" s="5" t="s">
        <v>17</v>
      </c>
      <c r="G274" s="5" t="s">
        <v>18</v>
      </c>
      <c r="H274" s="3" t="s">
        <v>59</v>
      </c>
      <c r="I274" s="3"/>
      <c r="J274" s="3"/>
      <c r="K274" s="5" t="s">
        <v>23</v>
      </c>
      <c r="L274" s="5">
        <v>2.5</v>
      </c>
      <c r="M274" s="2" t="s">
        <v>941</v>
      </c>
    </row>
    <row r="275" spans="1:13" x14ac:dyDescent="0.25">
      <c r="A275" s="5" t="str">
        <f>"8692041000907"</f>
        <v>8692041000907</v>
      </c>
      <c r="B275" s="2" t="s">
        <v>942</v>
      </c>
      <c r="C275" s="2" t="s">
        <v>943</v>
      </c>
      <c r="D275" s="5" t="s">
        <v>15</v>
      </c>
      <c r="E275" s="5" t="s">
        <v>16</v>
      </c>
      <c r="F275" s="5" t="s">
        <v>17</v>
      </c>
      <c r="G275" s="5" t="s">
        <v>18</v>
      </c>
      <c r="H275" s="3" t="s">
        <v>226</v>
      </c>
      <c r="I275" s="3"/>
      <c r="J275" s="3"/>
      <c r="K275" s="5" t="s">
        <v>23</v>
      </c>
      <c r="L275" s="5">
        <v>16.75</v>
      </c>
      <c r="M275" s="2" t="s">
        <v>944</v>
      </c>
    </row>
    <row r="276" spans="1:13" x14ac:dyDescent="0.25">
      <c r="A276" s="5" t="str">
        <f>"2148380000000"</f>
        <v>2148380000000</v>
      </c>
      <c r="B276" s="2" t="s">
        <v>945</v>
      </c>
      <c r="C276" s="2" t="s">
        <v>946</v>
      </c>
      <c r="D276" s="5" t="s">
        <v>15</v>
      </c>
      <c r="E276" s="5" t="s">
        <v>16</v>
      </c>
      <c r="F276" s="5" t="s">
        <v>17</v>
      </c>
      <c r="G276" s="5" t="s">
        <v>18</v>
      </c>
      <c r="H276" s="3"/>
      <c r="I276" s="3"/>
      <c r="J276" s="3"/>
      <c r="K276" s="5" t="s">
        <v>19</v>
      </c>
      <c r="L276" s="5">
        <v>69.95</v>
      </c>
      <c r="M276" s="2" t="s">
        <v>947</v>
      </c>
    </row>
    <row r="277" spans="1:13" x14ac:dyDescent="0.25">
      <c r="A277" s="5" t="str">
        <f>"2140542000002"</f>
        <v>2140542000002</v>
      </c>
      <c r="B277" s="2" t="s">
        <v>948</v>
      </c>
      <c r="C277" s="2" t="s">
        <v>949</v>
      </c>
      <c r="D277" s="5" t="s">
        <v>15</v>
      </c>
      <c r="E277" s="5" t="s">
        <v>16</v>
      </c>
      <c r="F277" s="5" t="s">
        <v>17</v>
      </c>
      <c r="G277" s="5" t="s">
        <v>18</v>
      </c>
      <c r="H277" s="3"/>
      <c r="I277" s="3"/>
      <c r="J277" s="3"/>
      <c r="K277" s="5" t="s">
        <v>19</v>
      </c>
      <c r="L277" s="5">
        <v>96.95</v>
      </c>
      <c r="M277" s="2" t="s">
        <v>950</v>
      </c>
    </row>
    <row r="278" spans="1:13" x14ac:dyDescent="0.25">
      <c r="A278" s="5" t="str">
        <f>"6281007046060"</f>
        <v>6281007046060</v>
      </c>
      <c r="B278" s="2" t="s">
        <v>951</v>
      </c>
      <c r="C278" s="2" t="s">
        <v>952</v>
      </c>
      <c r="D278" s="5" t="s">
        <v>15</v>
      </c>
      <c r="E278" s="5" t="s">
        <v>16</v>
      </c>
      <c r="F278" s="5" t="s">
        <v>17</v>
      </c>
      <c r="G278" s="5" t="s">
        <v>18</v>
      </c>
      <c r="H278" s="3" t="s">
        <v>32</v>
      </c>
      <c r="I278" s="3" t="s">
        <v>33</v>
      </c>
      <c r="J278" s="3" t="s">
        <v>896</v>
      </c>
      <c r="K278" s="5" t="s">
        <v>23</v>
      </c>
      <c r="L278" s="5">
        <v>7.75</v>
      </c>
      <c r="M278" s="2" t="s">
        <v>953</v>
      </c>
    </row>
    <row r="279" spans="1:13" x14ac:dyDescent="0.25">
      <c r="A279" s="5" t="str">
        <f>"6281022132472"</f>
        <v>6281022132472</v>
      </c>
      <c r="B279" s="2" t="s">
        <v>954</v>
      </c>
      <c r="C279" s="2" t="s">
        <v>955</v>
      </c>
      <c r="D279" s="5" t="s">
        <v>15</v>
      </c>
      <c r="E279" s="5" t="s">
        <v>16</v>
      </c>
      <c r="F279" s="5" t="s">
        <v>17</v>
      </c>
      <c r="G279" s="5" t="s">
        <v>18</v>
      </c>
      <c r="H279" s="3"/>
      <c r="I279" s="3" t="s">
        <v>33</v>
      </c>
      <c r="J279" s="3" t="s">
        <v>956</v>
      </c>
      <c r="K279" s="5" t="s">
        <v>23</v>
      </c>
      <c r="L279" s="5">
        <v>10</v>
      </c>
      <c r="M279" s="2" t="s">
        <v>957</v>
      </c>
    </row>
    <row r="280" spans="1:13" x14ac:dyDescent="0.25">
      <c r="A280" s="5" t="str">
        <f>"6287004520091"</f>
        <v>6287004520091</v>
      </c>
      <c r="B280" s="2" t="s">
        <v>958</v>
      </c>
      <c r="C280" s="2" t="s">
        <v>959</v>
      </c>
      <c r="D280" s="5" t="s">
        <v>15</v>
      </c>
      <c r="E280" s="5" t="s">
        <v>16</v>
      </c>
      <c r="F280" s="5" t="s">
        <v>17</v>
      </c>
      <c r="G280" s="5" t="s">
        <v>18</v>
      </c>
      <c r="H280" s="3" t="s">
        <v>48</v>
      </c>
      <c r="I280" s="3"/>
      <c r="J280" s="3"/>
      <c r="K280" s="5" t="s">
        <v>23</v>
      </c>
      <c r="L280" s="5">
        <v>22.5</v>
      </c>
      <c r="M280" s="2" t="s">
        <v>960</v>
      </c>
    </row>
    <row r="281" spans="1:13" x14ac:dyDescent="0.25">
      <c r="A281" s="5" t="str">
        <f>"6281057081103"</f>
        <v>6281057081103</v>
      </c>
      <c r="B281" s="2" t="s">
        <v>961</v>
      </c>
      <c r="C281" s="2" t="s">
        <v>962</v>
      </c>
      <c r="D281" s="5" t="s">
        <v>15</v>
      </c>
      <c r="E281" s="5" t="s">
        <v>16</v>
      </c>
      <c r="F281" s="5" t="s">
        <v>17</v>
      </c>
      <c r="G281" s="5" t="s">
        <v>18</v>
      </c>
      <c r="H281" s="3" t="s">
        <v>44</v>
      </c>
      <c r="I281" s="3"/>
      <c r="J281" s="3"/>
      <c r="K281" s="5" t="s">
        <v>23</v>
      </c>
      <c r="L281" s="5">
        <v>26.25</v>
      </c>
      <c r="M281" s="2" t="s">
        <v>963</v>
      </c>
    </row>
    <row r="282" spans="1:13" x14ac:dyDescent="0.25">
      <c r="A282" s="5" t="str">
        <f>"6281018322993"</f>
        <v>6281018322993</v>
      </c>
      <c r="B282" s="2" t="s">
        <v>964</v>
      </c>
      <c r="C282" s="2" t="s">
        <v>965</v>
      </c>
      <c r="D282" s="5" t="s">
        <v>15</v>
      </c>
      <c r="E282" s="5" t="s">
        <v>16</v>
      </c>
      <c r="F282" s="5" t="s">
        <v>17</v>
      </c>
      <c r="G282" s="5" t="s">
        <v>18</v>
      </c>
      <c r="H282" s="3" t="s">
        <v>67</v>
      </c>
      <c r="I282" s="3"/>
      <c r="J282" s="3"/>
      <c r="K282" s="5" t="s">
        <v>23</v>
      </c>
      <c r="L282" s="5">
        <v>24</v>
      </c>
      <c r="M282" s="2" t="s">
        <v>966</v>
      </c>
    </row>
    <row r="283" spans="1:13" x14ac:dyDescent="0.25">
      <c r="A283" s="5" t="str">
        <f>"5290036003280"</f>
        <v>5290036003280</v>
      </c>
      <c r="B283" s="2" t="s">
        <v>967</v>
      </c>
      <c r="C283" s="2" t="s">
        <v>968</v>
      </c>
      <c r="D283" s="5" t="s">
        <v>15</v>
      </c>
      <c r="E283" s="5" t="s">
        <v>16</v>
      </c>
      <c r="F283" s="5" t="s">
        <v>17</v>
      </c>
      <c r="G283" s="5" t="s">
        <v>18</v>
      </c>
      <c r="H283" s="3" t="s">
        <v>83</v>
      </c>
      <c r="I283" s="3"/>
      <c r="J283" s="3"/>
      <c r="K283" s="5" t="s">
        <v>23</v>
      </c>
      <c r="L283" s="5">
        <v>19.5</v>
      </c>
      <c r="M283" s="2" t="s">
        <v>969</v>
      </c>
    </row>
    <row r="284" spans="1:13" x14ac:dyDescent="0.25">
      <c r="A284" s="5" t="str">
        <f>"6281039174137"</f>
        <v>6281039174137</v>
      </c>
      <c r="B284" s="2" t="s">
        <v>970</v>
      </c>
      <c r="C284" s="2" t="s">
        <v>971</v>
      </c>
      <c r="D284" s="5" t="s">
        <v>15</v>
      </c>
      <c r="E284" s="5" t="s">
        <v>16</v>
      </c>
      <c r="F284" s="5" t="s">
        <v>17</v>
      </c>
      <c r="G284" s="5" t="s">
        <v>18</v>
      </c>
      <c r="H284" s="3" t="s">
        <v>146</v>
      </c>
      <c r="I284" s="3"/>
      <c r="J284" s="3" t="s">
        <v>972</v>
      </c>
      <c r="K284" s="5" t="s">
        <v>23</v>
      </c>
      <c r="L284" s="5">
        <v>32</v>
      </c>
      <c r="M284" s="2" t="s">
        <v>973</v>
      </c>
    </row>
    <row r="285" spans="1:13" x14ac:dyDescent="0.25">
      <c r="A285" s="5" t="str">
        <f>"6281024116678"</f>
        <v>6281024116678</v>
      </c>
      <c r="B285" s="2" t="s">
        <v>974</v>
      </c>
      <c r="C285" s="2" t="s">
        <v>975</v>
      </c>
      <c r="D285" s="5" t="s">
        <v>15</v>
      </c>
      <c r="E285" s="5" t="s">
        <v>16</v>
      </c>
      <c r="F285" s="5" t="s">
        <v>17</v>
      </c>
      <c r="G285" s="5" t="s">
        <v>18</v>
      </c>
      <c r="H285" s="3" t="s">
        <v>107</v>
      </c>
      <c r="I285" s="3"/>
      <c r="J285" s="3"/>
      <c r="K285" s="5" t="s">
        <v>23</v>
      </c>
      <c r="L285" s="5">
        <v>15.75</v>
      </c>
      <c r="M285" s="2" t="s">
        <v>976</v>
      </c>
    </row>
    <row r="286" spans="1:13" x14ac:dyDescent="0.25">
      <c r="A286" s="5" t="str">
        <f>"6281024010808"</f>
        <v>6281024010808</v>
      </c>
      <c r="B286" s="2" t="s">
        <v>977</v>
      </c>
      <c r="C286" s="2" t="s">
        <v>978</v>
      </c>
      <c r="D286" s="5" t="s">
        <v>15</v>
      </c>
      <c r="E286" s="5" t="s">
        <v>16</v>
      </c>
      <c r="F286" s="5" t="s">
        <v>17</v>
      </c>
      <c r="G286" s="5" t="s">
        <v>18</v>
      </c>
      <c r="H286" s="3" t="s">
        <v>979</v>
      </c>
      <c r="I286" s="3" t="s">
        <v>33</v>
      </c>
      <c r="J286" s="3" t="s">
        <v>28</v>
      </c>
      <c r="K286" s="5" t="s">
        <v>23</v>
      </c>
      <c r="L286" s="5">
        <v>9.25</v>
      </c>
      <c r="M286" s="2" t="s">
        <v>980</v>
      </c>
    </row>
    <row r="287" spans="1:13" x14ac:dyDescent="0.25">
      <c r="A287" s="5" t="str">
        <f>"6281022120226"</f>
        <v>6281022120226</v>
      </c>
      <c r="B287" s="2" t="s">
        <v>981</v>
      </c>
      <c r="C287" s="2" t="s">
        <v>982</v>
      </c>
      <c r="D287" s="5" t="s">
        <v>15</v>
      </c>
      <c r="E287" s="5" t="s">
        <v>16</v>
      </c>
      <c r="F287" s="5" t="s">
        <v>17</v>
      </c>
      <c r="G287" s="5" t="s">
        <v>18</v>
      </c>
      <c r="H287" s="3"/>
      <c r="I287" s="3"/>
      <c r="J287" s="3" t="s">
        <v>79</v>
      </c>
      <c r="K287" s="5" t="s">
        <v>23</v>
      </c>
      <c r="L287" s="5">
        <v>11</v>
      </c>
      <c r="M287" s="2" t="s">
        <v>983</v>
      </c>
    </row>
    <row r="288" spans="1:13" x14ac:dyDescent="0.25">
      <c r="A288" s="5" t="str">
        <f>"2140362000008"</f>
        <v>2140362000008</v>
      </c>
      <c r="B288" s="2" t="s">
        <v>984</v>
      </c>
      <c r="C288" s="2" t="s">
        <v>985</v>
      </c>
      <c r="D288" s="5" t="s">
        <v>15</v>
      </c>
      <c r="E288" s="5" t="s">
        <v>16</v>
      </c>
      <c r="F288" s="5" t="s">
        <v>17</v>
      </c>
      <c r="G288" s="5" t="s">
        <v>18</v>
      </c>
      <c r="H288" s="3" t="s">
        <v>819</v>
      </c>
      <c r="I288" s="3"/>
      <c r="J288" s="3"/>
      <c r="K288" s="5" t="s">
        <v>19</v>
      </c>
      <c r="L288" s="5">
        <v>79.900000000000006</v>
      </c>
      <c r="M288" s="2" t="s">
        <v>986</v>
      </c>
    </row>
    <row r="289" spans="1:13" x14ac:dyDescent="0.25">
      <c r="A289" s="5" t="str">
        <f>"6281048105702"</f>
        <v>6281048105702</v>
      </c>
      <c r="B289" s="2" t="s">
        <v>987</v>
      </c>
      <c r="C289" s="2" t="s">
        <v>988</v>
      </c>
      <c r="D289" s="5" t="s">
        <v>15</v>
      </c>
      <c r="E289" s="5" t="s">
        <v>16</v>
      </c>
      <c r="F289" s="5" t="s">
        <v>17</v>
      </c>
      <c r="G289" s="5" t="s">
        <v>18</v>
      </c>
      <c r="H289" s="3" t="s">
        <v>27</v>
      </c>
      <c r="I289" s="3" t="s">
        <v>349</v>
      </c>
      <c r="J289" s="3" t="s">
        <v>375</v>
      </c>
      <c r="K289" s="5" t="s">
        <v>23</v>
      </c>
      <c r="L289" s="5">
        <v>19.25</v>
      </c>
      <c r="M289" s="2" t="s">
        <v>989</v>
      </c>
    </row>
    <row r="290" spans="1:13" x14ac:dyDescent="0.25">
      <c r="A290" s="5" t="str">
        <f>"6297000670263"</f>
        <v>6297000670263</v>
      </c>
      <c r="B290" s="2" t="s">
        <v>990</v>
      </c>
      <c r="C290" s="2" t="s">
        <v>991</v>
      </c>
      <c r="D290" s="5" t="s">
        <v>15</v>
      </c>
      <c r="E290" s="5" t="s">
        <v>16</v>
      </c>
      <c r="F290" s="5" t="s">
        <v>17</v>
      </c>
      <c r="G290" s="5" t="s">
        <v>18</v>
      </c>
      <c r="H290" s="3" t="s">
        <v>539</v>
      </c>
      <c r="I290" s="3"/>
      <c r="J290" s="3" t="s">
        <v>126</v>
      </c>
      <c r="K290" s="5" t="s">
        <v>23</v>
      </c>
      <c r="L290" s="5">
        <v>15.95</v>
      </c>
      <c r="M290" s="2" t="s">
        <v>992</v>
      </c>
    </row>
    <row r="291" spans="1:13" x14ac:dyDescent="0.25">
      <c r="A291" s="5" t="str">
        <f>"6281018169413"</f>
        <v>6281018169413</v>
      </c>
      <c r="B291" s="2" t="s">
        <v>993</v>
      </c>
      <c r="C291" s="2" t="s">
        <v>994</v>
      </c>
      <c r="D291" s="5" t="s">
        <v>15</v>
      </c>
      <c r="E291" s="5" t="s">
        <v>16</v>
      </c>
      <c r="F291" s="5" t="s">
        <v>17</v>
      </c>
      <c r="G291" s="5" t="s">
        <v>18</v>
      </c>
      <c r="H291" s="3" t="s">
        <v>67</v>
      </c>
      <c r="I291" s="3"/>
      <c r="J291" s="3"/>
      <c r="K291" s="5" t="s">
        <v>23</v>
      </c>
      <c r="L291" s="5">
        <v>42.95</v>
      </c>
      <c r="M291" s="2" t="s">
        <v>995</v>
      </c>
    </row>
    <row r="292" spans="1:13" x14ac:dyDescent="0.25">
      <c r="A292" s="5" t="str">
        <f>"6281039172331"</f>
        <v>6281039172331</v>
      </c>
      <c r="B292" s="2" t="s">
        <v>996</v>
      </c>
      <c r="C292" s="2" t="s">
        <v>997</v>
      </c>
      <c r="D292" s="5" t="s">
        <v>15</v>
      </c>
      <c r="E292" s="5" t="s">
        <v>16</v>
      </c>
      <c r="F292" s="5" t="s">
        <v>17</v>
      </c>
      <c r="G292" s="5" t="s">
        <v>18</v>
      </c>
      <c r="H292" s="3" t="s">
        <v>146</v>
      </c>
      <c r="I292" s="3"/>
      <c r="J292" s="3"/>
      <c r="K292" s="5" t="s">
        <v>23</v>
      </c>
      <c r="L292" s="5">
        <v>31</v>
      </c>
      <c r="M292" s="2" t="s">
        <v>998</v>
      </c>
    </row>
    <row r="293" spans="1:13" x14ac:dyDescent="0.25">
      <c r="A293" s="5" t="str">
        <f>"2143183000004"</f>
        <v>2143183000004</v>
      </c>
      <c r="B293" s="2" t="s">
        <v>999</v>
      </c>
      <c r="C293" s="2" t="s">
        <v>1000</v>
      </c>
      <c r="D293" s="5" t="s">
        <v>15</v>
      </c>
      <c r="E293" s="5" t="s">
        <v>16</v>
      </c>
      <c r="F293" s="5" t="s">
        <v>17</v>
      </c>
      <c r="G293" s="5" t="s">
        <v>18</v>
      </c>
      <c r="H293" s="3"/>
      <c r="I293" s="3"/>
      <c r="J293" s="3"/>
      <c r="K293" s="5" t="s">
        <v>19</v>
      </c>
      <c r="L293" s="5">
        <v>87.95</v>
      </c>
      <c r="M293" s="2" t="s">
        <v>1001</v>
      </c>
    </row>
    <row r="294" spans="1:13" x14ac:dyDescent="0.25">
      <c r="A294" s="5" t="str">
        <f>"6281007045698"</f>
        <v>6281007045698</v>
      </c>
      <c r="B294" s="2" t="s">
        <v>1002</v>
      </c>
      <c r="C294" s="2" t="s">
        <v>1003</v>
      </c>
      <c r="D294" s="5" t="s">
        <v>15</v>
      </c>
      <c r="E294" s="5" t="s">
        <v>16</v>
      </c>
      <c r="F294" s="5" t="s">
        <v>17</v>
      </c>
      <c r="G294" s="5" t="s">
        <v>18</v>
      </c>
      <c r="H294" s="3" t="s">
        <v>32</v>
      </c>
      <c r="I294" s="3" t="s">
        <v>33</v>
      </c>
      <c r="J294" s="3" t="s">
        <v>293</v>
      </c>
      <c r="K294" s="5" t="s">
        <v>23</v>
      </c>
      <c r="L294" s="5">
        <v>34</v>
      </c>
      <c r="M294" s="2" t="s">
        <v>1004</v>
      </c>
    </row>
    <row r="295" spans="1:13" x14ac:dyDescent="0.25">
      <c r="A295" s="5" t="str">
        <f>"6281007026017"</f>
        <v>6281007026017</v>
      </c>
      <c r="B295" s="2" t="s">
        <v>1005</v>
      </c>
      <c r="C295" s="2" t="s">
        <v>1006</v>
      </c>
      <c r="D295" s="5" t="s">
        <v>15</v>
      </c>
      <c r="E295" s="5" t="s">
        <v>16</v>
      </c>
      <c r="F295" s="5" t="s">
        <v>17</v>
      </c>
      <c r="G295" s="5" t="s">
        <v>18</v>
      </c>
      <c r="H295" s="3" t="s">
        <v>32</v>
      </c>
      <c r="I295" s="3" t="s">
        <v>33</v>
      </c>
      <c r="J295" s="3" t="s">
        <v>109</v>
      </c>
      <c r="K295" s="5" t="s">
        <v>23</v>
      </c>
      <c r="L295" s="5">
        <v>14.95</v>
      </c>
      <c r="M295" s="2" t="s">
        <v>1007</v>
      </c>
    </row>
    <row r="296" spans="1:13" x14ac:dyDescent="0.25">
      <c r="A296" s="5" t="str">
        <f>"3451790802249"</f>
        <v>3451790802249</v>
      </c>
      <c r="B296" s="2" t="s">
        <v>1008</v>
      </c>
      <c r="C296" s="2" t="s">
        <v>1009</v>
      </c>
      <c r="D296" s="5" t="s">
        <v>15</v>
      </c>
      <c r="E296" s="5" t="s">
        <v>16</v>
      </c>
      <c r="F296" s="5" t="s">
        <v>17</v>
      </c>
      <c r="G296" s="5" t="s">
        <v>18</v>
      </c>
      <c r="H296" s="3" t="s">
        <v>1010</v>
      </c>
      <c r="I296" s="3" t="s">
        <v>108</v>
      </c>
      <c r="J296" s="3" t="s">
        <v>238</v>
      </c>
      <c r="K296" s="5" t="s">
        <v>23</v>
      </c>
      <c r="L296" s="5">
        <v>48.25</v>
      </c>
      <c r="M296" s="2" t="s">
        <v>1011</v>
      </c>
    </row>
    <row r="297" spans="1:13" x14ac:dyDescent="0.25">
      <c r="A297" s="5" t="str">
        <f>"2140305000003"</f>
        <v>2140305000003</v>
      </c>
      <c r="B297" s="2" t="s">
        <v>1012</v>
      </c>
      <c r="C297" s="2" t="s">
        <v>1013</v>
      </c>
      <c r="D297" s="5" t="s">
        <v>15</v>
      </c>
      <c r="E297" s="5" t="s">
        <v>16</v>
      </c>
      <c r="F297" s="5" t="s">
        <v>17</v>
      </c>
      <c r="G297" s="5" t="s">
        <v>18</v>
      </c>
      <c r="H297" s="3"/>
      <c r="I297" s="3"/>
      <c r="J297" s="3"/>
      <c r="K297" s="5" t="s">
        <v>19</v>
      </c>
      <c r="L297" s="5">
        <v>87.95</v>
      </c>
      <c r="M297" s="2" t="s">
        <v>1014</v>
      </c>
    </row>
    <row r="298" spans="1:13" x14ac:dyDescent="0.25">
      <c r="A298" s="5" t="str">
        <f>"3073781069716"</f>
        <v>3073781069716</v>
      </c>
      <c r="B298" s="2" t="s">
        <v>1015</v>
      </c>
      <c r="C298" s="2" t="s">
        <v>1016</v>
      </c>
      <c r="D298" s="5" t="s">
        <v>15</v>
      </c>
      <c r="E298" s="5" t="s">
        <v>16</v>
      </c>
      <c r="F298" s="5" t="s">
        <v>17</v>
      </c>
      <c r="G298" s="5" t="s">
        <v>18</v>
      </c>
      <c r="H298" s="3" t="s">
        <v>1017</v>
      </c>
      <c r="I298" s="3"/>
      <c r="J298" s="3"/>
      <c r="K298" s="5" t="s">
        <v>23</v>
      </c>
      <c r="L298" s="5">
        <v>42.95</v>
      </c>
      <c r="M298" s="2" t="s">
        <v>1018</v>
      </c>
    </row>
    <row r="299" spans="1:13" x14ac:dyDescent="0.25">
      <c r="A299" s="5" t="str">
        <f>"6281123054987"</f>
        <v>6281123054987</v>
      </c>
      <c r="B299" s="2" t="s">
        <v>1019</v>
      </c>
      <c r="C299" s="2" t="s">
        <v>1020</v>
      </c>
      <c r="D299" s="5" t="s">
        <v>15</v>
      </c>
      <c r="E299" s="5" t="s">
        <v>16</v>
      </c>
      <c r="F299" s="5" t="s">
        <v>17</v>
      </c>
      <c r="G299" s="5" t="s">
        <v>18</v>
      </c>
      <c r="H299" s="3"/>
      <c r="I299" s="3"/>
      <c r="J299" s="3" t="s">
        <v>1021</v>
      </c>
      <c r="K299" s="5" t="s">
        <v>23</v>
      </c>
      <c r="L299" s="5">
        <v>16.5</v>
      </c>
      <c r="M299" s="2" t="s">
        <v>1022</v>
      </c>
    </row>
    <row r="300" spans="1:13" x14ac:dyDescent="0.25">
      <c r="A300" s="5" t="str">
        <f>"8710912008811"</f>
        <v>8710912008811</v>
      </c>
      <c r="B300" s="2" t="s">
        <v>1023</v>
      </c>
      <c r="C300" s="2" t="s">
        <v>1024</v>
      </c>
      <c r="D300" s="5" t="s">
        <v>15</v>
      </c>
      <c r="E300" s="5" t="s">
        <v>16</v>
      </c>
      <c r="F300" s="5" t="s">
        <v>17</v>
      </c>
      <c r="G300" s="5" t="s">
        <v>18</v>
      </c>
      <c r="H300" s="3" t="s">
        <v>819</v>
      </c>
      <c r="I300" s="3" t="s">
        <v>345</v>
      </c>
      <c r="J300" s="3" t="s">
        <v>1025</v>
      </c>
      <c r="K300" s="5" t="s">
        <v>23</v>
      </c>
      <c r="L300" s="5">
        <v>13</v>
      </c>
      <c r="M300" s="2" t="s">
        <v>1026</v>
      </c>
    </row>
    <row r="301" spans="1:13" x14ac:dyDescent="0.25">
      <c r="A301" s="5" t="str">
        <f>"2142671000007"</f>
        <v>2142671000007</v>
      </c>
      <c r="B301" s="2" t="s">
        <v>1027</v>
      </c>
      <c r="C301" s="2" t="s">
        <v>1028</v>
      </c>
      <c r="D301" s="5" t="s">
        <v>15</v>
      </c>
      <c r="E301" s="5" t="s">
        <v>16</v>
      </c>
      <c r="F301" s="5" t="s">
        <v>17</v>
      </c>
      <c r="G301" s="5" t="s">
        <v>18</v>
      </c>
      <c r="H301" s="3"/>
      <c r="I301" s="3"/>
      <c r="J301" s="3"/>
      <c r="K301" s="5" t="s">
        <v>19</v>
      </c>
      <c r="L301" s="5">
        <v>65.95</v>
      </c>
      <c r="M301" s="2" t="s">
        <v>1029</v>
      </c>
    </row>
    <row r="302" spans="1:13" x14ac:dyDescent="0.25">
      <c r="A302" s="5" t="str">
        <f>"5711953023095"</f>
        <v>5711953023095</v>
      </c>
      <c r="B302" s="2" t="s">
        <v>1030</v>
      </c>
      <c r="C302" s="2" t="s">
        <v>1031</v>
      </c>
      <c r="D302" s="5" t="s">
        <v>15</v>
      </c>
      <c r="E302" s="5" t="s">
        <v>16</v>
      </c>
      <c r="F302" s="5" t="s">
        <v>17</v>
      </c>
      <c r="G302" s="5" t="s">
        <v>18</v>
      </c>
      <c r="H302" s="3" t="s">
        <v>27</v>
      </c>
      <c r="I302" s="3"/>
      <c r="J302" s="3" t="s">
        <v>371</v>
      </c>
      <c r="K302" s="5" t="s">
        <v>23</v>
      </c>
      <c r="L302" s="5">
        <v>17.5</v>
      </c>
      <c r="M302" s="2" t="s">
        <v>1032</v>
      </c>
    </row>
    <row r="303" spans="1:13" x14ac:dyDescent="0.25">
      <c r="A303" s="5" t="str">
        <f>"6281048107188"</f>
        <v>6281048107188</v>
      </c>
      <c r="B303" s="2" t="s">
        <v>1033</v>
      </c>
      <c r="C303" s="2" t="s">
        <v>1034</v>
      </c>
      <c r="D303" s="5" t="s">
        <v>15</v>
      </c>
      <c r="E303" s="5" t="s">
        <v>16</v>
      </c>
      <c r="F303" s="5" t="s">
        <v>17</v>
      </c>
      <c r="G303" s="5" t="s">
        <v>18</v>
      </c>
      <c r="H303" s="3" t="s">
        <v>27</v>
      </c>
      <c r="I303" s="3" t="s">
        <v>153</v>
      </c>
      <c r="J303" s="3" t="s">
        <v>510</v>
      </c>
      <c r="K303" s="5" t="s">
        <v>23</v>
      </c>
      <c r="L303" s="5">
        <v>23.5</v>
      </c>
      <c r="M303" s="2" t="s">
        <v>1035</v>
      </c>
    </row>
    <row r="304" spans="1:13" x14ac:dyDescent="0.25">
      <c r="A304" s="5" t="str">
        <f>"6281057012053"</f>
        <v>6281057012053</v>
      </c>
      <c r="B304" s="2" t="s">
        <v>1036</v>
      </c>
      <c r="C304" s="2" t="s">
        <v>1037</v>
      </c>
      <c r="D304" s="5" t="s">
        <v>15</v>
      </c>
      <c r="E304" s="5" t="s">
        <v>16</v>
      </c>
      <c r="F304" s="5" t="s">
        <v>17</v>
      </c>
      <c r="G304" s="5" t="s">
        <v>18</v>
      </c>
      <c r="H304" s="3" t="s">
        <v>44</v>
      </c>
      <c r="I304" s="3"/>
      <c r="J304" s="3"/>
      <c r="K304" s="5" t="s">
        <v>23</v>
      </c>
      <c r="L304" s="5">
        <v>76.25</v>
      </c>
      <c r="M304" s="2" t="s">
        <v>1038</v>
      </c>
    </row>
    <row r="305" spans="1:13" x14ac:dyDescent="0.25">
      <c r="A305" s="5" t="str">
        <f>"6281026121410"</f>
        <v>6281026121410</v>
      </c>
      <c r="B305" s="2" t="s">
        <v>1039</v>
      </c>
      <c r="C305" s="2" t="s">
        <v>1040</v>
      </c>
      <c r="D305" s="5" t="s">
        <v>15</v>
      </c>
      <c r="E305" s="5" t="s">
        <v>16</v>
      </c>
      <c r="F305" s="5" t="s">
        <v>17</v>
      </c>
      <c r="G305" s="5" t="s">
        <v>18</v>
      </c>
      <c r="H305" s="3" t="s">
        <v>1041</v>
      </c>
      <c r="I305" s="3" t="s">
        <v>33</v>
      </c>
      <c r="J305" s="3"/>
      <c r="K305" s="5" t="s">
        <v>23</v>
      </c>
      <c r="L305" s="5">
        <v>23.25</v>
      </c>
      <c r="M305" s="2" t="s">
        <v>1042</v>
      </c>
    </row>
    <row r="306" spans="1:13" x14ac:dyDescent="0.25">
      <c r="A306" s="5" t="str">
        <f>"6281007070560"</f>
        <v>6281007070560</v>
      </c>
      <c r="B306" s="2" t="s">
        <v>1043</v>
      </c>
      <c r="C306" s="2" t="s">
        <v>1044</v>
      </c>
      <c r="D306" s="5" t="s">
        <v>15</v>
      </c>
      <c r="E306" s="5" t="s">
        <v>16</v>
      </c>
      <c r="F306" s="5" t="s">
        <v>17</v>
      </c>
      <c r="G306" s="5" t="s">
        <v>18</v>
      </c>
      <c r="H306" s="3" t="s">
        <v>32</v>
      </c>
      <c r="I306" s="3" t="s">
        <v>33</v>
      </c>
      <c r="J306" s="3"/>
      <c r="K306" s="5" t="s">
        <v>23</v>
      </c>
      <c r="L306" s="5">
        <v>16.95</v>
      </c>
      <c r="M306" s="2" t="s">
        <v>1045</v>
      </c>
    </row>
    <row r="307" spans="1:13" x14ac:dyDescent="0.25">
      <c r="A307" s="5" t="str">
        <f>"6281057003365"</f>
        <v>6281057003365</v>
      </c>
      <c r="B307" s="2" t="s">
        <v>1046</v>
      </c>
      <c r="C307" s="2" t="s">
        <v>1047</v>
      </c>
      <c r="D307" s="5" t="s">
        <v>15</v>
      </c>
      <c r="E307" s="5" t="s">
        <v>16</v>
      </c>
      <c r="F307" s="5" t="s">
        <v>17</v>
      </c>
      <c r="G307" s="5" t="s">
        <v>18</v>
      </c>
      <c r="H307" s="3" t="s">
        <v>44</v>
      </c>
      <c r="I307" s="3"/>
      <c r="J307" s="3"/>
      <c r="K307" s="5" t="s">
        <v>23</v>
      </c>
      <c r="L307" s="5">
        <v>9.75</v>
      </c>
      <c r="M307" s="2" t="s">
        <v>1048</v>
      </c>
    </row>
    <row r="308" spans="1:13" x14ac:dyDescent="0.25">
      <c r="A308" s="5" t="str">
        <f>"6281022167306"</f>
        <v>6281022167306</v>
      </c>
      <c r="B308" s="2" t="s">
        <v>1049</v>
      </c>
      <c r="C308" s="2" t="s">
        <v>1050</v>
      </c>
      <c r="D308" s="5" t="s">
        <v>15</v>
      </c>
      <c r="E308" s="5" t="s">
        <v>16</v>
      </c>
      <c r="F308" s="5" t="s">
        <v>17</v>
      </c>
      <c r="G308" s="5" t="s">
        <v>18</v>
      </c>
      <c r="H308" s="3"/>
      <c r="I308" s="3" t="s">
        <v>723</v>
      </c>
      <c r="J308" s="3" t="s">
        <v>1051</v>
      </c>
      <c r="K308" s="5" t="s">
        <v>23</v>
      </c>
      <c r="L308" s="5">
        <v>22.75</v>
      </c>
      <c r="M308" s="2" t="s">
        <v>1052</v>
      </c>
    </row>
    <row r="309" spans="1:13" x14ac:dyDescent="0.25">
      <c r="A309" s="5" t="str">
        <f>"5711953031144"</f>
        <v>5711953031144</v>
      </c>
      <c r="B309" s="2" t="s">
        <v>1053</v>
      </c>
      <c r="C309" s="2" t="s">
        <v>1054</v>
      </c>
      <c r="D309" s="5" t="s">
        <v>15</v>
      </c>
      <c r="E309" s="5" t="s">
        <v>16</v>
      </c>
      <c r="F309" s="5" t="s">
        <v>17</v>
      </c>
      <c r="G309" s="5" t="s">
        <v>18</v>
      </c>
      <c r="H309" s="3" t="s">
        <v>27</v>
      </c>
      <c r="I309" s="3" t="s">
        <v>174</v>
      </c>
      <c r="J309" s="3" t="s">
        <v>1055</v>
      </c>
      <c r="K309" s="5" t="s">
        <v>23</v>
      </c>
      <c r="L309" s="5">
        <v>14.95</v>
      </c>
      <c r="M309" s="2" t="s">
        <v>1056</v>
      </c>
    </row>
    <row r="310" spans="1:13" x14ac:dyDescent="0.25">
      <c r="A310" s="5" t="str">
        <f>"6281024017593"</f>
        <v>6281024017593</v>
      </c>
      <c r="B310" s="2" t="s">
        <v>1057</v>
      </c>
      <c r="C310" s="2" t="s">
        <v>1058</v>
      </c>
      <c r="D310" s="5" t="s">
        <v>15</v>
      </c>
      <c r="E310" s="5" t="s">
        <v>16</v>
      </c>
      <c r="F310" s="5" t="s">
        <v>17</v>
      </c>
      <c r="G310" s="5" t="s">
        <v>18</v>
      </c>
      <c r="H310" s="3" t="s">
        <v>979</v>
      </c>
      <c r="I310" s="3"/>
      <c r="J310" s="3"/>
      <c r="K310" s="5" t="s">
        <v>23</v>
      </c>
      <c r="L310" s="5">
        <v>5.25</v>
      </c>
      <c r="M310" s="2" t="s">
        <v>1059</v>
      </c>
    </row>
    <row r="311" spans="1:13" x14ac:dyDescent="0.25">
      <c r="A311" s="5" t="str">
        <f>"6281051004269"</f>
        <v>6281051004269</v>
      </c>
      <c r="B311" s="2" t="s">
        <v>1060</v>
      </c>
      <c r="C311" s="2" t="s">
        <v>1061</v>
      </c>
      <c r="D311" s="5" t="s">
        <v>15</v>
      </c>
      <c r="E311" s="5" t="s">
        <v>16</v>
      </c>
      <c r="F311" s="5" t="s">
        <v>17</v>
      </c>
      <c r="G311" s="5" t="s">
        <v>18</v>
      </c>
      <c r="H311" s="3" t="s">
        <v>83</v>
      </c>
      <c r="I311" s="3"/>
      <c r="J311" s="3"/>
      <c r="K311" s="5" t="s">
        <v>23</v>
      </c>
      <c r="L311" s="5">
        <v>19.75</v>
      </c>
      <c r="M311" s="2" t="s">
        <v>1062</v>
      </c>
    </row>
    <row r="312" spans="1:13" x14ac:dyDescent="0.25">
      <c r="A312" s="5" t="str">
        <f>"6281039105568"</f>
        <v>6281039105568</v>
      </c>
      <c r="B312" s="2" t="s">
        <v>1063</v>
      </c>
      <c r="C312" s="2" t="s">
        <v>1064</v>
      </c>
      <c r="D312" s="5" t="s">
        <v>15</v>
      </c>
      <c r="E312" s="5" t="s">
        <v>16</v>
      </c>
      <c r="F312" s="5" t="s">
        <v>17</v>
      </c>
      <c r="G312" s="5" t="s">
        <v>18</v>
      </c>
      <c r="H312" s="3" t="s">
        <v>146</v>
      </c>
      <c r="I312" s="3"/>
      <c r="J312" s="3"/>
      <c r="K312" s="5" t="s">
        <v>23</v>
      </c>
      <c r="L312" s="5">
        <v>10.25</v>
      </c>
      <c r="M312" s="2" t="s">
        <v>1065</v>
      </c>
    </row>
    <row r="313" spans="1:13" x14ac:dyDescent="0.25">
      <c r="A313" s="5" t="str">
        <f>"6281007032834"</f>
        <v>6281007032834</v>
      </c>
      <c r="B313" s="2" t="s">
        <v>1066</v>
      </c>
      <c r="C313" s="2" t="s">
        <v>1067</v>
      </c>
      <c r="D313" s="5" t="s">
        <v>15</v>
      </c>
      <c r="E313" s="5" t="s">
        <v>16</v>
      </c>
      <c r="F313" s="5" t="s">
        <v>17</v>
      </c>
      <c r="G313" s="5" t="s">
        <v>18</v>
      </c>
      <c r="H313" s="3" t="s">
        <v>32</v>
      </c>
      <c r="I313" s="3" t="s">
        <v>33</v>
      </c>
      <c r="J313" s="3"/>
      <c r="K313" s="5" t="s">
        <v>23</v>
      </c>
      <c r="L313" s="5">
        <v>2.25</v>
      </c>
      <c r="M313" s="2" t="s">
        <v>1068</v>
      </c>
    </row>
    <row r="314" spans="1:13" x14ac:dyDescent="0.25">
      <c r="A314" s="5" t="str">
        <f>"6281057002597"</f>
        <v>6281057002597</v>
      </c>
      <c r="B314" s="2" t="s">
        <v>1069</v>
      </c>
      <c r="C314" s="2" t="s">
        <v>1070</v>
      </c>
      <c r="D314" s="5" t="s">
        <v>15</v>
      </c>
      <c r="E314" s="5" t="s">
        <v>16</v>
      </c>
      <c r="F314" s="5" t="s">
        <v>17</v>
      </c>
      <c r="G314" s="5" t="s">
        <v>18</v>
      </c>
      <c r="H314" s="3" t="s">
        <v>44</v>
      </c>
      <c r="I314" s="3"/>
      <c r="J314" s="3"/>
      <c r="K314" s="5" t="s">
        <v>23</v>
      </c>
      <c r="L314" s="5">
        <v>5</v>
      </c>
      <c r="M314" s="2" t="s">
        <v>1071</v>
      </c>
    </row>
    <row r="315" spans="1:13" x14ac:dyDescent="0.25">
      <c r="A315" s="5" t="str">
        <f>"6281022110630"</f>
        <v>6281022110630</v>
      </c>
      <c r="B315" s="2" t="s">
        <v>1072</v>
      </c>
      <c r="C315" s="2" t="s">
        <v>1073</v>
      </c>
      <c r="D315" s="5" t="s">
        <v>15</v>
      </c>
      <c r="E315" s="5" t="s">
        <v>16</v>
      </c>
      <c r="F315" s="5" t="s">
        <v>17</v>
      </c>
      <c r="G315" s="5" t="s">
        <v>18</v>
      </c>
      <c r="H315" s="3"/>
      <c r="I315" s="3"/>
      <c r="J315" s="3"/>
      <c r="K315" s="5" t="s">
        <v>23</v>
      </c>
      <c r="L315" s="5">
        <v>14.5</v>
      </c>
      <c r="M315" s="2" t="s">
        <v>1074</v>
      </c>
    </row>
    <row r="316" spans="1:13" x14ac:dyDescent="0.25">
      <c r="A316" s="5" t="str">
        <f>"6084012090307"</f>
        <v>6084012090307</v>
      </c>
      <c r="B316" s="2" t="s">
        <v>1075</v>
      </c>
      <c r="C316" s="2" t="s">
        <v>1076</v>
      </c>
      <c r="D316" s="5" t="s">
        <v>15</v>
      </c>
      <c r="E316" s="5" t="s">
        <v>16</v>
      </c>
      <c r="F316" s="5" t="s">
        <v>17</v>
      </c>
      <c r="G316" s="5" t="s">
        <v>18</v>
      </c>
      <c r="H316" s="3" t="s">
        <v>206</v>
      </c>
      <c r="I316" s="3"/>
      <c r="J316" s="3"/>
      <c r="K316" s="5" t="s">
        <v>23</v>
      </c>
      <c r="L316" s="5">
        <v>37.25</v>
      </c>
      <c r="M316" s="2" t="s">
        <v>1077</v>
      </c>
    </row>
    <row r="317" spans="1:13" x14ac:dyDescent="0.25">
      <c r="A317" s="5" t="str">
        <f>"6281007023498"</f>
        <v>6281007023498</v>
      </c>
      <c r="B317" s="2" t="s">
        <v>1078</v>
      </c>
      <c r="C317" s="2" t="s">
        <v>1079</v>
      </c>
      <c r="D317" s="5" t="s">
        <v>15</v>
      </c>
      <c r="E317" s="5" t="s">
        <v>16</v>
      </c>
      <c r="F317" s="5" t="s">
        <v>17</v>
      </c>
      <c r="G317" s="5" t="s">
        <v>18</v>
      </c>
      <c r="H317" s="3" t="s">
        <v>32</v>
      </c>
      <c r="I317" s="3" t="s">
        <v>33</v>
      </c>
      <c r="J317" s="3" t="s">
        <v>1080</v>
      </c>
      <c r="K317" s="5" t="s">
        <v>23</v>
      </c>
      <c r="L317" s="5">
        <v>3</v>
      </c>
      <c r="M317" s="2" t="s">
        <v>1081</v>
      </c>
    </row>
    <row r="318" spans="1:13" x14ac:dyDescent="0.25">
      <c r="A318" s="5" t="str">
        <f>"6281057001439"</f>
        <v>6281057001439</v>
      </c>
      <c r="B318" s="2" t="s">
        <v>1082</v>
      </c>
      <c r="C318" s="2" t="s">
        <v>1083</v>
      </c>
      <c r="D318" s="5" t="s">
        <v>15</v>
      </c>
      <c r="E318" s="5" t="s">
        <v>16</v>
      </c>
      <c r="F318" s="5" t="s">
        <v>17</v>
      </c>
      <c r="G318" s="5" t="s">
        <v>18</v>
      </c>
      <c r="H318" s="3" t="s">
        <v>44</v>
      </c>
      <c r="I318" s="3"/>
      <c r="J318" s="3" t="s">
        <v>234</v>
      </c>
      <c r="K318" s="5" t="s">
        <v>23</v>
      </c>
      <c r="L318" s="5">
        <v>29.95</v>
      </c>
      <c r="M318" s="2" t="s">
        <v>1084</v>
      </c>
    </row>
    <row r="319" spans="1:13" x14ac:dyDescent="0.25">
      <c r="A319" s="5" t="str">
        <f>"6281057001125"</f>
        <v>6281057001125</v>
      </c>
      <c r="B319" s="2" t="s">
        <v>1085</v>
      </c>
      <c r="C319" s="2" t="s">
        <v>1086</v>
      </c>
      <c r="D319" s="5" t="s">
        <v>15</v>
      </c>
      <c r="E319" s="5" t="s">
        <v>16</v>
      </c>
      <c r="F319" s="5" t="s">
        <v>17</v>
      </c>
      <c r="G319" s="5" t="s">
        <v>18</v>
      </c>
      <c r="H319" s="3" t="s">
        <v>44</v>
      </c>
      <c r="I319" s="3"/>
      <c r="J319" s="3"/>
      <c r="K319" s="5" t="s">
        <v>23</v>
      </c>
      <c r="L319" s="5">
        <v>2</v>
      </c>
      <c r="M319" s="2" t="s">
        <v>1087</v>
      </c>
    </row>
    <row r="320" spans="1:13" x14ac:dyDescent="0.25">
      <c r="A320" s="5" t="str">
        <f>"6281007036153"</f>
        <v>6281007036153</v>
      </c>
      <c r="B320" s="2" t="s">
        <v>1088</v>
      </c>
      <c r="C320" s="2" t="s">
        <v>1089</v>
      </c>
      <c r="D320" s="5" t="s">
        <v>15</v>
      </c>
      <c r="E320" s="5" t="s">
        <v>16</v>
      </c>
      <c r="F320" s="5" t="s">
        <v>17</v>
      </c>
      <c r="G320" s="5" t="s">
        <v>18</v>
      </c>
      <c r="H320" s="3" t="s">
        <v>32</v>
      </c>
      <c r="I320" s="3" t="s">
        <v>33</v>
      </c>
      <c r="J320" s="3" t="s">
        <v>1090</v>
      </c>
      <c r="K320" s="5" t="s">
        <v>23</v>
      </c>
      <c r="L320" s="5">
        <v>33</v>
      </c>
      <c r="M320" s="2" t="s">
        <v>1091</v>
      </c>
    </row>
    <row r="321" spans="1:13" x14ac:dyDescent="0.25">
      <c r="A321" s="5" t="str">
        <f>"6281057002979"</f>
        <v>6281057002979</v>
      </c>
      <c r="B321" s="2" t="s">
        <v>1092</v>
      </c>
      <c r="C321" s="2" t="s">
        <v>1093</v>
      </c>
      <c r="D321" s="5" t="s">
        <v>15</v>
      </c>
      <c r="E321" s="5" t="s">
        <v>16</v>
      </c>
      <c r="F321" s="5" t="s">
        <v>17</v>
      </c>
      <c r="G321" s="5" t="s">
        <v>18</v>
      </c>
      <c r="H321" s="3" t="s">
        <v>44</v>
      </c>
      <c r="I321" s="3"/>
      <c r="J321" s="3"/>
      <c r="K321" s="5" t="s">
        <v>23</v>
      </c>
      <c r="L321" s="5">
        <v>15.25</v>
      </c>
      <c r="M321" s="2" t="s">
        <v>1094</v>
      </c>
    </row>
    <row r="322" spans="1:13" x14ac:dyDescent="0.25">
      <c r="A322" s="5" t="str">
        <f>"6281007034012"</f>
        <v>6281007034012</v>
      </c>
      <c r="B322" s="2" t="s">
        <v>1095</v>
      </c>
      <c r="C322" s="2" t="s">
        <v>1096</v>
      </c>
      <c r="D322" s="5" t="s">
        <v>15</v>
      </c>
      <c r="E322" s="5" t="s">
        <v>16</v>
      </c>
      <c r="F322" s="5" t="s">
        <v>17</v>
      </c>
      <c r="G322" s="5" t="s">
        <v>18</v>
      </c>
      <c r="H322" s="3" t="s">
        <v>32</v>
      </c>
      <c r="I322" s="3" t="s">
        <v>33</v>
      </c>
      <c r="J322" s="3" t="s">
        <v>189</v>
      </c>
      <c r="K322" s="5" t="s">
        <v>23</v>
      </c>
      <c r="L322" s="5">
        <v>2.2999999999999998</v>
      </c>
      <c r="M322" s="2" t="s">
        <v>1097</v>
      </c>
    </row>
    <row r="323" spans="1:13" x14ac:dyDescent="0.25">
      <c r="A323" s="5" t="str">
        <f>"6281051004245"</f>
        <v>6281051004245</v>
      </c>
      <c r="B323" s="2" t="s">
        <v>1098</v>
      </c>
      <c r="C323" s="2" t="s">
        <v>1099</v>
      </c>
      <c r="D323" s="5" t="s">
        <v>15</v>
      </c>
      <c r="E323" s="5" t="s">
        <v>16</v>
      </c>
      <c r="F323" s="5" t="s">
        <v>17</v>
      </c>
      <c r="G323" s="5" t="s">
        <v>18</v>
      </c>
      <c r="H323" s="3" t="s">
        <v>83</v>
      </c>
      <c r="I323" s="3"/>
      <c r="J323" s="3" t="s">
        <v>126</v>
      </c>
      <c r="K323" s="5" t="s">
        <v>23</v>
      </c>
      <c r="L323" s="5">
        <v>21.25</v>
      </c>
      <c r="M323" s="2" t="s">
        <v>1100</v>
      </c>
    </row>
    <row r="324" spans="1:13" x14ac:dyDescent="0.25">
      <c r="A324" s="5" t="str">
        <f>"6281022118209"</f>
        <v>6281022118209</v>
      </c>
      <c r="B324" s="2" t="s">
        <v>1101</v>
      </c>
      <c r="C324" s="2" t="s">
        <v>1102</v>
      </c>
      <c r="D324" s="5" t="s">
        <v>15</v>
      </c>
      <c r="E324" s="5" t="s">
        <v>16</v>
      </c>
      <c r="F324" s="5" t="s">
        <v>17</v>
      </c>
      <c r="G324" s="5" t="s">
        <v>18</v>
      </c>
      <c r="H324" s="3" t="s">
        <v>59</v>
      </c>
      <c r="I324" s="3" t="s">
        <v>723</v>
      </c>
      <c r="J324" s="3" t="s">
        <v>675</v>
      </c>
      <c r="K324" s="5" t="s">
        <v>23</v>
      </c>
      <c r="L324" s="5">
        <v>2.5</v>
      </c>
      <c r="M324" s="2" t="s">
        <v>1103</v>
      </c>
    </row>
    <row r="325" spans="1:13" x14ac:dyDescent="0.25">
      <c r="A325" s="5" t="str">
        <f>"2143859000000"</f>
        <v>2143859000000</v>
      </c>
      <c r="B325" s="2" t="s">
        <v>1104</v>
      </c>
      <c r="C325" s="2" t="s">
        <v>1105</v>
      </c>
      <c r="D325" s="5" t="s">
        <v>15</v>
      </c>
      <c r="E325" s="5" t="s">
        <v>16</v>
      </c>
      <c r="F325" s="5" t="s">
        <v>17</v>
      </c>
      <c r="G325" s="5" t="s">
        <v>18</v>
      </c>
      <c r="H325" s="3"/>
      <c r="I325" s="3"/>
      <c r="J325" s="3"/>
      <c r="K325" s="5" t="s">
        <v>19</v>
      </c>
      <c r="L325" s="5">
        <v>16.95</v>
      </c>
      <c r="M325" s="2" t="s">
        <v>1106</v>
      </c>
    </row>
    <row r="326" spans="1:13" x14ac:dyDescent="0.25">
      <c r="A326" s="5" t="str">
        <f>"2142589000007"</f>
        <v>2142589000007</v>
      </c>
      <c r="B326" s="2" t="s">
        <v>1107</v>
      </c>
      <c r="C326" s="2" t="s">
        <v>1108</v>
      </c>
      <c r="D326" s="5" t="s">
        <v>15</v>
      </c>
      <c r="E326" s="5" t="s">
        <v>16</v>
      </c>
      <c r="F326" s="5" t="s">
        <v>17</v>
      </c>
      <c r="G326" s="5" t="s">
        <v>18</v>
      </c>
      <c r="H326" s="3"/>
      <c r="I326" s="3"/>
      <c r="J326" s="3"/>
      <c r="K326" s="5" t="s">
        <v>19</v>
      </c>
      <c r="L326" s="5">
        <v>28.95</v>
      </c>
      <c r="M326" s="2" t="s">
        <v>1109</v>
      </c>
    </row>
    <row r="327" spans="1:13" x14ac:dyDescent="0.25">
      <c r="A327" s="5" t="str">
        <f>"6281022151268"</f>
        <v>6281022151268</v>
      </c>
      <c r="B327" s="2" t="s">
        <v>1110</v>
      </c>
      <c r="C327" s="2" t="s">
        <v>1111</v>
      </c>
      <c r="D327" s="5" t="s">
        <v>15</v>
      </c>
      <c r="E327" s="5" t="s">
        <v>16</v>
      </c>
      <c r="F327" s="5" t="s">
        <v>17</v>
      </c>
      <c r="G327" s="5" t="s">
        <v>18</v>
      </c>
      <c r="H327" s="3"/>
      <c r="I327" s="3"/>
      <c r="J327" s="3"/>
      <c r="K327" s="5" t="s">
        <v>23</v>
      </c>
      <c r="L327" s="5">
        <v>4.6500000000000004</v>
      </c>
      <c r="M327" s="2" t="s">
        <v>1112</v>
      </c>
    </row>
    <row r="328" spans="1:13" x14ac:dyDescent="0.25">
      <c r="A328" s="5" t="str">
        <f>"6281018143383"</f>
        <v>6281018143383</v>
      </c>
      <c r="B328" s="2" t="s">
        <v>1113</v>
      </c>
      <c r="C328" s="2" t="s">
        <v>1114</v>
      </c>
      <c r="D328" s="5" t="s">
        <v>15</v>
      </c>
      <c r="E328" s="5" t="s">
        <v>16</v>
      </c>
      <c r="F328" s="5" t="s">
        <v>17</v>
      </c>
      <c r="G328" s="5" t="s">
        <v>18</v>
      </c>
      <c r="H328" s="3" t="s">
        <v>67</v>
      </c>
      <c r="I328" s="3"/>
      <c r="J328" s="3"/>
      <c r="K328" s="5" t="s">
        <v>23</v>
      </c>
      <c r="L328" s="5">
        <v>6.5</v>
      </c>
      <c r="M328" s="2" t="s">
        <v>1115</v>
      </c>
    </row>
    <row r="329" spans="1:13" x14ac:dyDescent="0.25">
      <c r="A329" s="5" t="str">
        <f>"6281007066570"</f>
        <v>6281007066570</v>
      </c>
      <c r="B329" s="2" t="s">
        <v>1116</v>
      </c>
      <c r="C329" s="2" t="s">
        <v>1117</v>
      </c>
      <c r="D329" s="5" t="s">
        <v>15</v>
      </c>
      <c r="E329" s="5" t="s">
        <v>16</v>
      </c>
      <c r="F329" s="5" t="s">
        <v>17</v>
      </c>
      <c r="G329" s="5" t="s">
        <v>18</v>
      </c>
      <c r="H329" s="3" t="s">
        <v>32</v>
      </c>
      <c r="I329" s="3" t="s">
        <v>33</v>
      </c>
      <c r="J329" s="3" t="s">
        <v>109</v>
      </c>
      <c r="K329" s="5" t="s">
        <v>23</v>
      </c>
      <c r="L329" s="5">
        <v>7.5</v>
      </c>
      <c r="M329" s="2" t="s">
        <v>1118</v>
      </c>
    </row>
    <row r="330" spans="1:13" x14ac:dyDescent="0.25">
      <c r="A330" s="5" t="str">
        <f>"2147517000005"</f>
        <v>2147517000005</v>
      </c>
      <c r="B330" s="2" t="s">
        <v>1119</v>
      </c>
      <c r="C330" s="2" t="s">
        <v>1120</v>
      </c>
      <c r="D330" s="5" t="s">
        <v>15</v>
      </c>
      <c r="E330" s="5" t="s">
        <v>16</v>
      </c>
      <c r="F330" s="5" t="s">
        <v>17</v>
      </c>
      <c r="G330" s="5" t="s">
        <v>18</v>
      </c>
      <c r="H330" s="3"/>
      <c r="I330" s="3"/>
      <c r="J330" s="3"/>
      <c r="K330" s="5" t="s">
        <v>19</v>
      </c>
      <c r="L330" s="5">
        <v>64.95</v>
      </c>
      <c r="M330" s="2" t="s">
        <v>1121</v>
      </c>
    </row>
    <row r="331" spans="1:13" x14ac:dyDescent="0.25">
      <c r="A331" s="5" t="str">
        <f>"6281048109601"</f>
        <v>6281048109601</v>
      </c>
      <c r="B331" s="2" t="s">
        <v>1122</v>
      </c>
      <c r="C331" s="2" t="s">
        <v>1123</v>
      </c>
      <c r="D331" s="5" t="s">
        <v>15</v>
      </c>
      <c r="E331" s="5" t="s">
        <v>16</v>
      </c>
      <c r="F331" s="5" t="s">
        <v>17</v>
      </c>
      <c r="G331" s="5" t="s">
        <v>18</v>
      </c>
      <c r="H331" s="3" t="s">
        <v>27</v>
      </c>
      <c r="I331" s="3" t="s">
        <v>153</v>
      </c>
      <c r="J331" s="3" t="s">
        <v>1124</v>
      </c>
      <c r="K331" s="5" t="s">
        <v>23</v>
      </c>
      <c r="L331" s="5">
        <v>9.9499999999999993</v>
      </c>
      <c r="M331" s="2" t="s">
        <v>1125</v>
      </c>
    </row>
    <row r="332" spans="1:13" x14ac:dyDescent="0.25">
      <c r="A332" s="5" t="str">
        <f>"6297001083482"</f>
        <v>6297001083482</v>
      </c>
      <c r="B332" s="2" t="s">
        <v>1126</v>
      </c>
      <c r="C332" s="2" t="s">
        <v>1127</v>
      </c>
      <c r="D332" s="5" t="s">
        <v>15</v>
      </c>
      <c r="E332" s="5" t="s">
        <v>16</v>
      </c>
      <c r="F332" s="5" t="s">
        <v>17</v>
      </c>
      <c r="G332" s="5" t="s">
        <v>18</v>
      </c>
      <c r="H332" s="3" t="s">
        <v>539</v>
      </c>
      <c r="I332" s="3"/>
      <c r="J332" s="3" t="s">
        <v>1128</v>
      </c>
      <c r="K332" s="5" t="s">
        <v>23</v>
      </c>
      <c r="L332" s="5">
        <v>8.5</v>
      </c>
      <c r="M332" s="2" t="s">
        <v>1129</v>
      </c>
    </row>
    <row r="333" spans="1:13" x14ac:dyDescent="0.25">
      <c r="A333" s="5" t="str">
        <f>"6281007039833"</f>
        <v>6281007039833</v>
      </c>
      <c r="B333" s="2" t="s">
        <v>1130</v>
      </c>
      <c r="C333" s="2" t="s">
        <v>1131</v>
      </c>
      <c r="D333" s="5" t="s">
        <v>15</v>
      </c>
      <c r="E333" s="5" t="s">
        <v>16</v>
      </c>
      <c r="F333" s="5" t="s">
        <v>17</v>
      </c>
      <c r="G333" s="5" t="s">
        <v>18</v>
      </c>
      <c r="H333" s="3" t="s">
        <v>32</v>
      </c>
      <c r="I333" s="3" t="s">
        <v>33</v>
      </c>
      <c r="J333" s="3"/>
      <c r="K333" s="5" t="s">
        <v>23</v>
      </c>
      <c r="L333" s="5">
        <v>3</v>
      </c>
      <c r="M333" s="2" t="s">
        <v>1132</v>
      </c>
    </row>
    <row r="334" spans="1:13" x14ac:dyDescent="0.25">
      <c r="A334" s="5" t="str">
        <f>"6281057003181"</f>
        <v>6281057003181</v>
      </c>
      <c r="B334" s="2" t="s">
        <v>1133</v>
      </c>
      <c r="C334" s="2" t="s">
        <v>1134</v>
      </c>
      <c r="D334" s="5" t="s">
        <v>15</v>
      </c>
      <c r="E334" s="5" t="s">
        <v>16</v>
      </c>
      <c r="F334" s="5" t="s">
        <v>17</v>
      </c>
      <c r="G334" s="5" t="s">
        <v>18</v>
      </c>
      <c r="H334" s="3" t="s">
        <v>44</v>
      </c>
      <c r="I334" s="3"/>
      <c r="J334" s="3"/>
      <c r="K334" s="5" t="s">
        <v>23</v>
      </c>
      <c r="L334" s="5">
        <v>14.25</v>
      </c>
      <c r="M334" s="2" t="s">
        <v>1135</v>
      </c>
    </row>
    <row r="335" spans="1:13" x14ac:dyDescent="0.25">
      <c r="A335" s="5" t="str">
        <f>"3073780963404"</f>
        <v>3073780963404</v>
      </c>
      <c r="B335" s="2" t="s">
        <v>1136</v>
      </c>
      <c r="C335" s="2" t="s">
        <v>1137</v>
      </c>
      <c r="D335" s="5" t="s">
        <v>15</v>
      </c>
      <c r="E335" s="5" t="s">
        <v>16</v>
      </c>
      <c r="F335" s="5" t="s">
        <v>17</v>
      </c>
      <c r="G335" s="5" t="s">
        <v>18</v>
      </c>
      <c r="H335" s="3" t="s">
        <v>87</v>
      </c>
      <c r="I335" s="3" t="s">
        <v>1138</v>
      </c>
      <c r="J335" s="3" t="s">
        <v>1139</v>
      </c>
      <c r="K335" s="5" t="s">
        <v>23</v>
      </c>
      <c r="L335" s="5">
        <v>42.25</v>
      </c>
      <c r="M335" s="2" t="s">
        <v>1140</v>
      </c>
    </row>
    <row r="336" spans="1:13" x14ac:dyDescent="0.25">
      <c r="A336" s="5" t="str">
        <f>"2140308000000"</f>
        <v>2140308000000</v>
      </c>
      <c r="B336" s="2" t="s">
        <v>1141</v>
      </c>
      <c r="C336" s="2" t="s">
        <v>1142</v>
      </c>
      <c r="D336" s="5" t="s">
        <v>15</v>
      </c>
      <c r="E336" s="5" t="s">
        <v>16</v>
      </c>
      <c r="F336" s="5" t="s">
        <v>17</v>
      </c>
      <c r="G336" s="5" t="s">
        <v>18</v>
      </c>
      <c r="H336" s="3"/>
      <c r="I336" s="3"/>
      <c r="J336" s="3"/>
      <c r="K336" s="5" t="s">
        <v>19</v>
      </c>
      <c r="L336" s="5">
        <v>24.45</v>
      </c>
      <c r="M336" s="2" t="s">
        <v>1143</v>
      </c>
    </row>
    <row r="337" spans="1:13" x14ac:dyDescent="0.25">
      <c r="A337" s="5" t="str">
        <f>"6281020331136"</f>
        <v>6281020331136</v>
      </c>
      <c r="B337" s="2" t="s">
        <v>1144</v>
      </c>
      <c r="C337" s="2" t="s">
        <v>1145</v>
      </c>
      <c r="D337" s="5" t="s">
        <v>15</v>
      </c>
      <c r="E337" s="5" t="s">
        <v>16</v>
      </c>
      <c r="F337" s="5" t="s">
        <v>17</v>
      </c>
      <c r="G337" s="5" t="s">
        <v>18</v>
      </c>
      <c r="H337" s="3" t="s">
        <v>1146</v>
      </c>
      <c r="I337" s="3"/>
      <c r="J337" s="3"/>
      <c r="K337" s="5" t="s">
        <v>23</v>
      </c>
      <c r="L337" s="5">
        <v>23.75</v>
      </c>
      <c r="M337" s="2" t="s">
        <v>1147</v>
      </c>
    </row>
    <row r="338" spans="1:13" x14ac:dyDescent="0.25">
      <c r="A338" s="5" t="str">
        <f>"6287007030030"</f>
        <v>6287007030030</v>
      </c>
      <c r="B338" s="2" t="s">
        <v>1148</v>
      </c>
      <c r="C338" s="2" t="s">
        <v>1149</v>
      </c>
      <c r="D338" s="5" t="s">
        <v>15</v>
      </c>
      <c r="E338" s="5" t="s">
        <v>16</v>
      </c>
      <c r="F338" s="5" t="s">
        <v>17</v>
      </c>
      <c r="G338" s="5" t="s">
        <v>18</v>
      </c>
      <c r="H338" s="3" t="s">
        <v>1150</v>
      </c>
      <c r="I338" s="3"/>
      <c r="J338" s="3"/>
      <c r="K338" s="5" t="s">
        <v>23</v>
      </c>
      <c r="L338" s="5">
        <v>11.95</v>
      </c>
      <c r="M338" s="2" t="s">
        <v>1151</v>
      </c>
    </row>
    <row r="339" spans="1:13" x14ac:dyDescent="0.25">
      <c r="A339" s="5" t="str">
        <f>"6281022126990"</f>
        <v>6281022126990</v>
      </c>
      <c r="B339" s="2" t="s">
        <v>1152</v>
      </c>
      <c r="C339" s="2" t="s">
        <v>1153</v>
      </c>
      <c r="D339" s="5" t="s">
        <v>15</v>
      </c>
      <c r="E339" s="5" t="s">
        <v>16</v>
      </c>
      <c r="F339" s="5" t="s">
        <v>17</v>
      </c>
      <c r="G339" s="5" t="s">
        <v>18</v>
      </c>
      <c r="H339" s="3" t="s">
        <v>59</v>
      </c>
      <c r="I339" s="3"/>
      <c r="J339" s="3" t="s">
        <v>1154</v>
      </c>
      <c r="K339" s="5" t="s">
        <v>23</v>
      </c>
      <c r="L339" s="5">
        <v>12.95</v>
      </c>
      <c r="M339" s="2" t="s">
        <v>1155</v>
      </c>
    </row>
    <row r="340" spans="1:13" x14ac:dyDescent="0.25">
      <c r="A340" s="5" t="str">
        <f>"6281018316770"</f>
        <v>6281018316770</v>
      </c>
      <c r="B340" s="2" t="s">
        <v>1156</v>
      </c>
      <c r="C340" s="2" t="s">
        <v>1157</v>
      </c>
      <c r="D340" s="5" t="s">
        <v>15</v>
      </c>
      <c r="E340" s="5" t="s">
        <v>16</v>
      </c>
      <c r="F340" s="5" t="s">
        <v>17</v>
      </c>
      <c r="G340" s="5" t="s">
        <v>18</v>
      </c>
      <c r="H340" s="3" t="s">
        <v>67</v>
      </c>
      <c r="I340" s="3"/>
      <c r="J340" s="3" t="s">
        <v>1158</v>
      </c>
      <c r="K340" s="5" t="s">
        <v>23</v>
      </c>
      <c r="L340" s="5">
        <v>12.95</v>
      </c>
      <c r="M340" s="2" t="s">
        <v>1159</v>
      </c>
    </row>
    <row r="341" spans="1:13" x14ac:dyDescent="0.25">
      <c r="A341" s="5" t="str">
        <f>"6281018154648"</f>
        <v>6281018154648</v>
      </c>
      <c r="B341" s="2" t="s">
        <v>1160</v>
      </c>
      <c r="C341" s="2" t="s">
        <v>1161</v>
      </c>
      <c r="D341" s="5" t="s">
        <v>15</v>
      </c>
      <c r="E341" s="5" t="s">
        <v>16</v>
      </c>
      <c r="F341" s="5" t="s">
        <v>17</v>
      </c>
      <c r="G341" s="5" t="s">
        <v>18</v>
      </c>
      <c r="H341" s="3" t="s">
        <v>67</v>
      </c>
      <c r="I341" s="3" t="s">
        <v>33</v>
      </c>
      <c r="J341" s="3" t="s">
        <v>587</v>
      </c>
      <c r="K341" s="5" t="s">
        <v>23</v>
      </c>
      <c r="L341" s="5">
        <v>5.95</v>
      </c>
      <c r="M341" s="2" t="s">
        <v>1162</v>
      </c>
    </row>
    <row r="342" spans="1:13" x14ac:dyDescent="0.25">
      <c r="A342" s="5" t="str">
        <f>"2143281000005"</f>
        <v>2143281000005</v>
      </c>
      <c r="B342" s="2" t="s">
        <v>1163</v>
      </c>
      <c r="C342" s="2" t="s">
        <v>1164</v>
      </c>
      <c r="D342" s="5" t="s">
        <v>15</v>
      </c>
      <c r="E342" s="5" t="s">
        <v>16</v>
      </c>
      <c r="F342" s="5" t="s">
        <v>17</v>
      </c>
      <c r="G342" s="5" t="s">
        <v>18</v>
      </c>
      <c r="H342" s="3"/>
      <c r="I342" s="3"/>
      <c r="J342" s="3"/>
      <c r="K342" s="5" t="s">
        <v>19</v>
      </c>
      <c r="L342" s="5">
        <v>36.950000000000003</v>
      </c>
      <c r="M342" s="2" t="s">
        <v>1165</v>
      </c>
    </row>
    <row r="343" spans="1:13" x14ac:dyDescent="0.25">
      <c r="A343" s="5" t="str">
        <f>"6281007023115"</f>
        <v>6281007023115</v>
      </c>
      <c r="B343" s="2" t="s">
        <v>1166</v>
      </c>
      <c r="C343" s="2" t="s">
        <v>1167</v>
      </c>
      <c r="D343" s="5" t="s">
        <v>15</v>
      </c>
      <c r="E343" s="5" t="s">
        <v>16</v>
      </c>
      <c r="F343" s="5" t="s">
        <v>17</v>
      </c>
      <c r="G343" s="5" t="s">
        <v>18</v>
      </c>
      <c r="H343" s="3" t="s">
        <v>32</v>
      </c>
      <c r="I343" s="3" t="s">
        <v>33</v>
      </c>
      <c r="J343" s="3"/>
      <c r="K343" s="5" t="s">
        <v>23</v>
      </c>
      <c r="L343" s="5">
        <v>2</v>
      </c>
      <c r="M343" s="2" t="s">
        <v>1168</v>
      </c>
    </row>
    <row r="344" spans="1:13" x14ac:dyDescent="0.25">
      <c r="A344" s="5" t="str">
        <f>"6281022118186"</f>
        <v>6281022118186</v>
      </c>
      <c r="B344" s="2" t="s">
        <v>1169</v>
      </c>
      <c r="C344" s="2" t="s">
        <v>1170</v>
      </c>
      <c r="D344" s="5" t="s">
        <v>15</v>
      </c>
      <c r="E344" s="5" t="s">
        <v>16</v>
      </c>
      <c r="F344" s="5" t="s">
        <v>17</v>
      </c>
      <c r="G344" s="5" t="s">
        <v>18</v>
      </c>
      <c r="H344" s="3" t="s">
        <v>59</v>
      </c>
      <c r="I344" s="3"/>
      <c r="J344" s="3" t="s">
        <v>658</v>
      </c>
      <c r="K344" s="5" t="s">
        <v>23</v>
      </c>
      <c r="L344" s="5">
        <v>12.5</v>
      </c>
      <c r="M344" s="2" t="s">
        <v>1171</v>
      </c>
    </row>
    <row r="345" spans="1:13" x14ac:dyDescent="0.25">
      <c r="A345" s="5" t="str">
        <f>"6281007041843"</f>
        <v>6281007041843</v>
      </c>
      <c r="B345" s="2" t="s">
        <v>1172</v>
      </c>
      <c r="C345" s="2" t="s">
        <v>1173</v>
      </c>
      <c r="D345" s="5" t="s">
        <v>15</v>
      </c>
      <c r="E345" s="5" t="s">
        <v>16</v>
      </c>
      <c r="F345" s="5" t="s">
        <v>17</v>
      </c>
      <c r="G345" s="5" t="s">
        <v>18</v>
      </c>
      <c r="H345" s="3" t="s">
        <v>32</v>
      </c>
      <c r="I345" s="3" t="s">
        <v>33</v>
      </c>
      <c r="J345" s="3" t="s">
        <v>189</v>
      </c>
      <c r="K345" s="5" t="s">
        <v>23</v>
      </c>
      <c r="L345" s="5">
        <v>2</v>
      </c>
      <c r="M345" s="2" t="s">
        <v>1174</v>
      </c>
    </row>
    <row r="346" spans="1:13" x14ac:dyDescent="0.25">
      <c r="A346" s="5" t="str">
        <f>"5711953113475"</f>
        <v>5711953113475</v>
      </c>
      <c r="B346" s="2" t="s">
        <v>1175</v>
      </c>
      <c r="C346" s="2" t="s">
        <v>1176</v>
      </c>
      <c r="D346" s="5" t="s">
        <v>15</v>
      </c>
      <c r="E346" s="5" t="s">
        <v>16</v>
      </c>
      <c r="F346" s="5" t="s">
        <v>17</v>
      </c>
      <c r="G346" s="5" t="s">
        <v>18</v>
      </c>
      <c r="H346" s="3" t="s">
        <v>206</v>
      </c>
      <c r="I346" s="3"/>
      <c r="J346" s="3" t="s">
        <v>109</v>
      </c>
      <c r="K346" s="5" t="s">
        <v>23</v>
      </c>
      <c r="L346" s="5">
        <v>23.5</v>
      </c>
      <c r="M346" s="2" t="s">
        <v>1177</v>
      </c>
    </row>
    <row r="347" spans="1:13" x14ac:dyDescent="0.25">
      <c r="A347" s="5" t="str">
        <f>"6281022109160"</f>
        <v>6281022109160</v>
      </c>
      <c r="B347" s="2" t="s">
        <v>1178</v>
      </c>
      <c r="C347" s="2" t="s">
        <v>1179</v>
      </c>
      <c r="D347" s="5" t="s">
        <v>15</v>
      </c>
      <c r="E347" s="5" t="s">
        <v>16</v>
      </c>
      <c r="F347" s="5" t="s">
        <v>17</v>
      </c>
      <c r="G347" s="5" t="s">
        <v>18</v>
      </c>
      <c r="H347" s="3"/>
      <c r="I347" s="3"/>
      <c r="J347" s="3"/>
      <c r="K347" s="5" t="s">
        <v>23</v>
      </c>
      <c r="L347" s="5">
        <v>14</v>
      </c>
      <c r="M347" s="2" t="s">
        <v>1180</v>
      </c>
    </row>
    <row r="348" spans="1:13" x14ac:dyDescent="0.25">
      <c r="A348" s="5" t="str">
        <f>"5711953022500"</f>
        <v>5711953022500</v>
      </c>
      <c r="B348" s="2" t="s">
        <v>1181</v>
      </c>
      <c r="C348" s="2" t="s">
        <v>1182</v>
      </c>
      <c r="D348" s="5" t="s">
        <v>15</v>
      </c>
      <c r="E348" s="5" t="s">
        <v>16</v>
      </c>
      <c r="F348" s="5" t="s">
        <v>17</v>
      </c>
      <c r="G348" s="5" t="s">
        <v>18</v>
      </c>
      <c r="H348" s="3" t="s">
        <v>27</v>
      </c>
      <c r="I348" s="3"/>
      <c r="J348" s="3" t="s">
        <v>371</v>
      </c>
      <c r="K348" s="5" t="s">
        <v>23</v>
      </c>
      <c r="L348" s="5">
        <v>17.5</v>
      </c>
      <c r="M348" s="2" t="s">
        <v>1183</v>
      </c>
    </row>
    <row r="349" spans="1:13" x14ac:dyDescent="0.25">
      <c r="A349" s="5" t="str">
        <f>"6287004520305"</f>
        <v>6287004520305</v>
      </c>
      <c r="B349" s="2" t="s">
        <v>1184</v>
      </c>
      <c r="C349" s="2" t="s">
        <v>1185</v>
      </c>
      <c r="D349" s="5" t="s">
        <v>15</v>
      </c>
      <c r="E349" s="5" t="s">
        <v>16</v>
      </c>
      <c r="F349" s="5" t="s">
        <v>17</v>
      </c>
      <c r="G349" s="5" t="s">
        <v>18</v>
      </c>
      <c r="H349" s="3" t="s">
        <v>48</v>
      </c>
      <c r="I349" s="3"/>
      <c r="J349" s="3"/>
      <c r="K349" s="5" t="s">
        <v>23</v>
      </c>
      <c r="L349" s="5">
        <v>33.25</v>
      </c>
      <c r="M349" s="2" t="s">
        <v>1186</v>
      </c>
    </row>
    <row r="350" spans="1:13" x14ac:dyDescent="0.25">
      <c r="A350" s="5" t="str">
        <f>"6281048106495"</f>
        <v>6281048106495</v>
      </c>
      <c r="B350" s="2" t="s">
        <v>1187</v>
      </c>
      <c r="C350" s="2" t="s">
        <v>1188</v>
      </c>
      <c r="D350" s="5" t="s">
        <v>15</v>
      </c>
      <c r="E350" s="5" t="s">
        <v>16</v>
      </c>
      <c r="F350" s="5" t="s">
        <v>17</v>
      </c>
      <c r="G350" s="5" t="s">
        <v>18</v>
      </c>
      <c r="H350" s="3" t="s">
        <v>27</v>
      </c>
      <c r="I350" s="3" t="s">
        <v>153</v>
      </c>
      <c r="J350" s="3" t="s">
        <v>109</v>
      </c>
      <c r="K350" s="5" t="s">
        <v>23</v>
      </c>
      <c r="L350" s="5">
        <v>21</v>
      </c>
      <c r="M350" s="2" t="s">
        <v>1189</v>
      </c>
    </row>
    <row r="351" spans="1:13" x14ac:dyDescent="0.25">
      <c r="A351" s="5" t="str">
        <f>"6281007905121"</f>
        <v>6281007905121</v>
      </c>
      <c r="B351" s="2" t="s">
        <v>1190</v>
      </c>
      <c r="C351" s="2" t="s">
        <v>1191</v>
      </c>
      <c r="D351" s="5" t="s">
        <v>15</v>
      </c>
      <c r="E351" s="5" t="s">
        <v>16</v>
      </c>
      <c r="F351" s="5" t="s">
        <v>17</v>
      </c>
      <c r="G351" s="5" t="s">
        <v>18</v>
      </c>
      <c r="H351" s="3" t="s">
        <v>32</v>
      </c>
      <c r="I351" s="3" t="s">
        <v>33</v>
      </c>
      <c r="J351" s="3" t="s">
        <v>857</v>
      </c>
      <c r="K351" s="5" t="s">
        <v>23</v>
      </c>
      <c r="L351" s="5">
        <v>24</v>
      </c>
      <c r="M351" s="2" t="s">
        <v>1192</v>
      </c>
    </row>
    <row r="352" spans="1:13" x14ac:dyDescent="0.25">
      <c r="A352" s="5" t="str">
        <f>"6281039107012"</f>
        <v>6281039107012</v>
      </c>
      <c r="B352" s="2" t="s">
        <v>1193</v>
      </c>
      <c r="C352" s="2" t="s">
        <v>1194</v>
      </c>
      <c r="D352" s="5" t="s">
        <v>15</v>
      </c>
      <c r="E352" s="5" t="s">
        <v>16</v>
      </c>
      <c r="F352" s="5" t="s">
        <v>17</v>
      </c>
      <c r="G352" s="5" t="s">
        <v>18</v>
      </c>
      <c r="H352" s="3" t="s">
        <v>146</v>
      </c>
      <c r="I352" s="3"/>
      <c r="J352" s="3"/>
      <c r="K352" s="5" t="s">
        <v>23</v>
      </c>
      <c r="L352" s="5">
        <v>10.25</v>
      </c>
      <c r="M352" s="2" t="s">
        <v>1195</v>
      </c>
    </row>
    <row r="353" spans="1:13" x14ac:dyDescent="0.25">
      <c r="A353" s="5" t="str">
        <f>"62810531"</f>
        <v>62810531</v>
      </c>
      <c r="B353" s="2" t="s">
        <v>1196</v>
      </c>
      <c r="C353" s="2" t="s">
        <v>1197</v>
      </c>
      <c r="D353" s="5" t="s">
        <v>15</v>
      </c>
      <c r="E353" s="5" t="s">
        <v>16</v>
      </c>
      <c r="F353" s="5" t="s">
        <v>17</v>
      </c>
      <c r="G353" s="5" t="s">
        <v>18</v>
      </c>
      <c r="H353" s="3" t="s">
        <v>32</v>
      </c>
      <c r="I353" s="3"/>
      <c r="J353" s="3"/>
      <c r="K353" s="5" t="s">
        <v>23</v>
      </c>
      <c r="L353" s="5">
        <v>4</v>
      </c>
      <c r="M353" s="2" t="s">
        <v>1198</v>
      </c>
    </row>
    <row r="354" spans="1:13" x14ac:dyDescent="0.25">
      <c r="A354" s="5" t="str">
        <f>"2140297000005"</f>
        <v>2140297000005</v>
      </c>
      <c r="B354" s="2" t="s">
        <v>1199</v>
      </c>
      <c r="C354" s="2" t="s">
        <v>1200</v>
      </c>
      <c r="D354" s="5" t="s">
        <v>15</v>
      </c>
      <c r="E354" s="5" t="s">
        <v>16</v>
      </c>
      <c r="F354" s="5" t="s">
        <v>17</v>
      </c>
      <c r="G354" s="5" t="s">
        <v>18</v>
      </c>
      <c r="H354" s="3"/>
      <c r="I354" s="3"/>
      <c r="J354" s="3"/>
      <c r="K354" s="5" t="s">
        <v>19</v>
      </c>
      <c r="L354" s="5">
        <v>60.95</v>
      </c>
      <c r="M354" s="2" t="s">
        <v>1201</v>
      </c>
    </row>
    <row r="355" spans="1:13" x14ac:dyDescent="0.25">
      <c r="A355" s="5" t="str">
        <f>"5711953090059"</f>
        <v>5711953090059</v>
      </c>
      <c r="B355" s="2" t="s">
        <v>1202</v>
      </c>
      <c r="C355" s="2" t="s">
        <v>1203</v>
      </c>
      <c r="D355" s="5" t="s">
        <v>15</v>
      </c>
      <c r="E355" s="5" t="s">
        <v>16</v>
      </c>
      <c r="F355" s="5" t="s">
        <v>17</v>
      </c>
      <c r="G355" s="5" t="s">
        <v>18</v>
      </c>
      <c r="H355" s="3" t="s">
        <v>27</v>
      </c>
      <c r="I355" s="3"/>
      <c r="J355" s="3" t="s">
        <v>28</v>
      </c>
      <c r="K355" s="5" t="s">
        <v>23</v>
      </c>
      <c r="L355" s="5">
        <v>13</v>
      </c>
      <c r="M355" s="2" t="s">
        <v>1204</v>
      </c>
    </row>
    <row r="356" spans="1:13" x14ac:dyDescent="0.25">
      <c r="A356" s="5" t="str">
        <f>"5411188543398"</f>
        <v>5411188543398</v>
      </c>
      <c r="B356" s="2" t="s">
        <v>1205</v>
      </c>
      <c r="C356" s="2" t="s">
        <v>1206</v>
      </c>
      <c r="D356" s="5" t="s">
        <v>15</v>
      </c>
      <c r="E356" s="5" t="s">
        <v>16</v>
      </c>
      <c r="F356" s="5" t="s">
        <v>17</v>
      </c>
      <c r="G356" s="5" t="s">
        <v>18</v>
      </c>
      <c r="H356" s="3" t="s">
        <v>230</v>
      </c>
      <c r="I356" s="3"/>
      <c r="J356" s="3" t="s">
        <v>808</v>
      </c>
      <c r="K356" s="5" t="s">
        <v>23</v>
      </c>
      <c r="L356" s="5">
        <v>27</v>
      </c>
      <c r="M356" s="2" t="s">
        <v>1207</v>
      </c>
    </row>
    <row r="357" spans="1:13" x14ac:dyDescent="0.25">
      <c r="A357" s="5" t="str">
        <f>"6281007026420"</f>
        <v>6281007026420</v>
      </c>
      <c r="B357" s="2" t="s">
        <v>1208</v>
      </c>
      <c r="C357" s="2" t="s">
        <v>1209</v>
      </c>
      <c r="D357" s="5" t="s">
        <v>15</v>
      </c>
      <c r="E357" s="5" t="s">
        <v>16</v>
      </c>
      <c r="F357" s="5" t="s">
        <v>17</v>
      </c>
      <c r="G357" s="5" t="s">
        <v>18</v>
      </c>
      <c r="H357" s="3" t="s">
        <v>32</v>
      </c>
      <c r="I357" s="3" t="s">
        <v>33</v>
      </c>
      <c r="J357" s="3" t="s">
        <v>28</v>
      </c>
      <c r="K357" s="5" t="s">
        <v>23</v>
      </c>
      <c r="L357" s="5">
        <v>11.25</v>
      </c>
      <c r="M357" s="2" t="s">
        <v>1210</v>
      </c>
    </row>
    <row r="358" spans="1:13" x14ac:dyDescent="0.25">
      <c r="A358" s="5" t="str">
        <f>"6281039175530"</f>
        <v>6281039175530</v>
      </c>
      <c r="B358" s="2" t="s">
        <v>1211</v>
      </c>
      <c r="C358" s="2" t="s">
        <v>1212</v>
      </c>
      <c r="D358" s="5" t="s">
        <v>15</v>
      </c>
      <c r="E358" s="5" t="s">
        <v>16</v>
      </c>
      <c r="F358" s="5" t="s">
        <v>17</v>
      </c>
      <c r="G358" s="5" t="s">
        <v>18</v>
      </c>
      <c r="H358" s="3" t="s">
        <v>146</v>
      </c>
      <c r="I358" s="3"/>
      <c r="J358" s="3"/>
      <c r="K358" s="5" t="s">
        <v>23</v>
      </c>
      <c r="L358" s="5">
        <v>30.95</v>
      </c>
      <c r="M358" s="2" t="s">
        <v>1213</v>
      </c>
    </row>
    <row r="359" spans="1:13" x14ac:dyDescent="0.25">
      <c r="A359" s="5" t="str">
        <f>"5977661882373"</f>
        <v>5977661882373</v>
      </c>
      <c r="B359" s="2" t="s">
        <v>1214</v>
      </c>
      <c r="C359" s="2" t="s">
        <v>1215</v>
      </c>
      <c r="D359" s="5" t="s">
        <v>15</v>
      </c>
      <c r="E359" s="5" t="s">
        <v>16</v>
      </c>
      <c r="F359" s="5" t="s">
        <v>17</v>
      </c>
      <c r="G359" s="5" t="s">
        <v>18</v>
      </c>
      <c r="H359" s="3"/>
      <c r="I359" s="3"/>
      <c r="J359" s="3" t="s">
        <v>1216</v>
      </c>
      <c r="K359" s="5" t="s">
        <v>23</v>
      </c>
      <c r="L359" s="5">
        <v>17.25</v>
      </c>
      <c r="M359" s="2" t="s">
        <v>1217</v>
      </c>
    </row>
    <row r="360" spans="1:13" x14ac:dyDescent="0.25">
      <c r="A360" s="5" t="str">
        <f>"6281039101218"</f>
        <v>6281039101218</v>
      </c>
      <c r="B360" s="2" t="s">
        <v>1218</v>
      </c>
      <c r="C360" s="2" t="s">
        <v>1219</v>
      </c>
      <c r="D360" s="5" t="s">
        <v>15</v>
      </c>
      <c r="E360" s="5" t="s">
        <v>16</v>
      </c>
      <c r="F360" s="5" t="s">
        <v>17</v>
      </c>
      <c r="G360" s="5" t="s">
        <v>18</v>
      </c>
      <c r="H360" s="3" t="s">
        <v>146</v>
      </c>
      <c r="I360" s="3"/>
      <c r="J360" s="3"/>
      <c r="K360" s="5" t="s">
        <v>23</v>
      </c>
      <c r="L360" s="5">
        <v>6.75</v>
      </c>
      <c r="M360" s="2" t="s">
        <v>1220</v>
      </c>
    </row>
    <row r="361" spans="1:13" x14ac:dyDescent="0.25">
      <c r="A361" s="5" t="str">
        <f>"6281007039581"</f>
        <v>6281007039581</v>
      </c>
      <c r="B361" s="2" t="s">
        <v>1221</v>
      </c>
      <c r="C361" s="2" t="s">
        <v>1222</v>
      </c>
      <c r="D361" s="5" t="s">
        <v>15</v>
      </c>
      <c r="E361" s="5" t="s">
        <v>16</v>
      </c>
      <c r="F361" s="5" t="s">
        <v>17</v>
      </c>
      <c r="G361" s="5" t="s">
        <v>18</v>
      </c>
      <c r="H361" s="3" t="s">
        <v>32</v>
      </c>
      <c r="I361" s="3" t="s">
        <v>33</v>
      </c>
      <c r="J361" s="3" t="s">
        <v>60</v>
      </c>
      <c r="K361" s="5" t="s">
        <v>23</v>
      </c>
      <c r="L361" s="5">
        <v>2</v>
      </c>
      <c r="M361" s="2" t="s">
        <v>1223</v>
      </c>
    </row>
    <row r="362" spans="1:13" x14ac:dyDescent="0.25">
      <c r="A362" s="5" t="str">
        <f>"6084012090444"</f>
        <v>6084012090444</v>
      </c>
      <c r="B362" s="2" t="s">
        <v>1224</v>
      </c>
      <c r="C362" s="2" t="s">
        <v>1225</v>
      </c>
      <c r="D362" s="5" t="s">
        <v>15</v>
      </c>
      <c r="E362" s="5" t="s">
        <v>16</v>
      </c>
      <c r="F362" s="5" t="s">
        <v>17</v>
      </c>
      <c r="G362" s="5" t="s">
        <v>18</v>
      </c>
      <c r="H362" s="3" t="s">
        <v>206</v>
      </c>
      <c r="I362" s="3"/>
      <c r="J362" s="3"/>
      <c r="K362" s="5" t="s">
        <v>23</v>
      </c>
      <c r="L362" s="5">
        <v>8.9499999999999993</v>
      </c>
      <c r="M362" s="2" t="s">
        <v>1226</v>
      </c>
    </row>
    <row r="363" spans="1:13" x14ac:dyDescent="0.25">
      <c r="A363" s="5" t="str">
        <f>"6281057002535"</f>
        <v>6281057002535</v>
      </c>
      <c r="B363" s="2" t="s">
        <v>1227</v>
      </c>
      <c r="C363" s="2" t="s">
        <v>1228</v>
      </c>
      <c r="D363" s="5" t="s">
        <v>15</v>
      </c>
      <c r="E363" s="5" t="s">
        <v>16</v>
      </c>
      <c r="F363" s="5" t="s">
        <v>17</v>
      </c>
      <c r="G363" s="5" t="s">
        <v>18</v>
      </c>
      <c r="H363" s="3" t="s">
        <v>44</v>
      </c>
      <c r="I363" s="3"/>
      <c r="J363" s="3" t="s">
        <v>375</v>
      </c>
      <c r="K363" s="5" t="s">
        <v>23</v>
      </c>
      <c r="L363" s="5">
        <v>6</v>
      </c>
      <c r="M363" s="2" t="s">
        <v>1229</v>
      </c>
    </row>
    <row r="364" spans="1:13" x14ac:dyDescent="0.25">
      <c r="A364" s="5" t="str">
        <f>"6281022118926"</f>
        <v>6281022118926</v>
      </c>
      <c r="B364" s="2" t="s">
        <v>1230</v>
      </c>
      <c r="C364" s="2" t="s">
        <v>1231</v>
      </c>
      <c r="D364" s="5" t="s">
        <v>15</v>
      </c>
      <c r="E364" s="5" t="s">
        <v>16</v>
      </c>
      <c r="F364" s="5" t="s">
        <v>17</v>
      </c>
      <c r="G364" s="5" t="s">
        <v>18</v>
      </c>
      <c r="H364" s="3" t="s">
        <v>59</v>
      </c>
      <c r="I364" s="3"/>
      <c r="J364" s="3" t="s">
        <v>879</v>
      </c>
      <c r="K364" s="5" t="s">
        <v>23</v>
      </c>
      <c r="L364" s="5">
        <v>2.5</v>
      </c>
      <c r="M364" s="2" t="s">
        <v>1232</v>
      </c>
    </row>
    <row r="365" spans="1:13" x14ac:dyDescent="0.25">
      <c r="A365" s="5" t="str">
        <f>"6281007070065"</f>
        <v>6281007070065</v>
      </c>
      <c r="B365" s="2" t="s">
        <v>1233</v>
      </c>
      <c r="C365" s="2" t="s">
        <v>1234</v>
      </c>
      <c r="D365" s="5" t="s">
        <v>15</v>
      </c>
      <c r="E365" s="5" t="s">
        <v>16</v>
      </c>
      <c r="F365" s="5" t="s">
        <v>17</v>
      </c>
      <c r="G365" s="5" t="s">
        <v>18</v>
      </c>
      <c r="H365" s="3" t="s">
        <v>32</v>
      </c>
      <c r="I365" s="3"/>
      <c r="J365" s="3" t="s">
        <v>1235</v>
      </c>
      <c r="K365" s="5" t="s">
        <v>23</v>
      </c>
      <c r="L365" s="5">
        <v>8.25</v>
      </c>
      <c r="M365" s="2" t="s">
        <v>1236</v>
      </c>
    </row>
    <row r="366" spans="1:13" x14ac:dyDescent="0.25">
      <c r="A366" s="5" t="str">
        <f>"2149938000008"</f>
        <v>2149938000008</v>
      </c>
      <c r="B366" s="2" t="s">
        <v>1237</v>
      </c>
      <c r="C366" s="2" t="s">
        <v>1238</v>
      </c>
      <c r="D366" s="5" t="s">
        <v>15</v>
      </c>
      <c r="E366" s="5" t="s">
        <v>16</v>
      </c>
      <c r="F366" s="5" t="s">
        <v>17</v>
      </c>
      <c r="G366" s="5" t="s">
        <v>18</v>
      </c>
      <c r="H366" s="3"/>
      <c r="I366" s="3"/>
      <c r="J366" s="3"/>
      <c r="K366" s="5" t="s">
        <v>19</v>
      </c>
      <c r="L366" s="5">
        <v>113.95</v>
      </c>
      <c r="M366" s="2" t="s">
        <v>1239</v>
      </c>
    </row>
    <row r="367" spans="1:13" x14ac:dyDescent="0.25">
      <c r="A367" s="5" t="str">
        <f>"6281007033091"</f>
        <v>6281007033091</v>
      </c>
      <c r="B367" s="2" t="s">
        <v>1240</v>
      </c>
      <c r="C367" s="2" t="s">
        <v>1241</v>
      </c>
      <c r="D367" s="5" t="s">
        <v>15</v>
      </c>
      <c r="E367" s="5" t="s">
        <v>16</v>
      </c>
      <c r="F367" s="5" t="s">
        <v>17</v>
      </c>
      <c r="G367" s="5" t="s">
        <v>18</v>
      </c>
      <c r="H367" s="3" t="s">
        <v>32</v>
      </c>
      <c r="I367" s="3" t="s">
        <v>33</v>
      </c>
      <c r="J367" s="3"/>
      <c r="K367" s="5" t="s">
        <v>23</v>
      </c>
      <c r="L367" s="5">
        <v>20.5</v>
      </c>
      <c r="M367" s="2" t="s">
        <v>1242</v>
      </c>
    </row>
    <row r="368" spans="1:13" x14ac:dyDescent="0.25">
      <c r="A368" s="5" t="str">
        <f>"6281007028363"</f>
        <v>6281007028363</v>
      </c>
      <c r="B368" s="2" t="s">
        <v>1243</v>
      </c>
      <c r="C368" s="2" t="s">
        <v>1244</v>
      </c>
      <c r="D368" s="5" t="s">
        <v>15</v>
      </c>
      <c r="E368" s="5" t="s">
        <v>16</v>
      </c>
      <c r="F368" s="5" t="s">
        <v>17</v>
      </c>
      <c r="G368" s="5" t="s">
        <v>18</v>
      </c>
      <c r="H368" s="3" t="s">
        <v>32</v>
      </c>
      <c r="I368" s="3" t="s">
        <v>33</v>
      </c>
      <c r="J368" s="3" t="s">
        <v>28</v>
      </c>
      <c r="K368" s="5" t="s">
        <v>23</v>
      </c>
      <c r="L368" s="5">
        <v>7.25</v>
      </c>
      <c r="M368" s="2" t="s">
        <v>1245</v>
      </c>
    </row>
    <row r="369" spans="1:13" x14ac:dyDescent="0.25">
      <c r="A369" s="5" t="str">
        <f>"6281057007387"</f>
        <v>6281057007387</v>
      </c>
      <c r="B369" s="2" t="s">
        <v>1246</v>
      </c>
      <c r="C369" s="2" t="s">
        <v>1247</v>
      </c>
      <c r="D369" s="5" t="s">
        <v>15</v>
      </c>
      <c r="E369" s="5" t="s">
        <v>16</v>
      </c>
      <c r="F369" s="5" t="s">
        <v>17</v>
      </c>
      <c r="G369" s="5" t="s">
        <v>18</v>
      </c>
      <c r="H369" s="3" t="s">
        <v>44</v>
      </c>
      <c r="I369" s="3"/>
      <c r="J369" s="3"/>
      <c r="K369" s="5" t="s">
        <v>23</v>
      </c>
      <c r="L369" s="5">
        <v>17</v>
      </c>
      <c r="M369" s="2" t="s">
        <v>1248</v>
      </c>
    </row>
    <row r="370" spans="1:13" x14ac:dyDescent="0.25">
      <c r="A370" s="5" t="str">
        <f>"6281022120349"</f>
        <v>6281022120349</v>
      </c>
      <c r="B370" s="2" t="s">
        <v>1249</v>
      </c>
      <c r="C370" s="2" t="s">
        <v>1250</v>
      </c>
      <c r="D370" s="5" t="s">
        <v>15</v>
      </c>
      <c r="E370" s="5" t="s">
        <v>16</v>
      </c>
      <c r="F370" s="5" t="s">
        <v>17</v>
      </c>
      <c r="G370" s="5" t="s">
        <v>18</v>
      </c>
      <c r="H370" s="3"/>
      <c r="I370" s="3"/>
      <c r="J370" s="3"/>
      <c r="K370" s="5" t="s">
        <v>23</v>
      </c>
      <c r="L370" s="5">
        <v>8.5</v>
      </c>
      <c r="M370" s="2" t="s">
        <v>1251</v>
      </c>
    </row>
    <row r="371" spans="1:13" x14ac:dyDescent="0.25">
      <c r="A371" s="5" t="str">
        <f>"2000004251673"</f>
        <v>2000004251673</v>
      </c>
      <c r="B371" s="2" t="s">
        <v>1252</v>
      </c>
      <c r="C371" s="2" t="s">
        <v>1253</v>
      </c>
      <c r="D371" s="5" t="s">
        <v>15</v>
      </c>
      <c r="E371" s="5" t="s">
        <v>16</v>
      </c>
      <c r="F371" s="5" t="s">
        <v>17</v>
      </c>
      <c r="G371" s="5" t="s">
        <v>18</v>
      </c>
      <c r="H371" s="3" t="s">
        <v>466</v>
      </c>
      <c r="I371" s="3"/>
      <c r="J371" s="3"/>
      <c r="K371" s="5" t="s">
        <v>23</v>
      </c>
      <c r="L371" s="5">
        <v>22.5</v>
      </c>
      <c r="M371" s="2" t="s">
        <v>1254</v>
      </c>
    </row>
    <row r="372" spans="1:13" x14ac:dyDescent="0.25">
      <c r="A372" s="5" t="str">
        <f>"8690504434733"</f>
        <v>8690504434733</v>
      </c>
      <c r="B372" s="2" t="s">
        <v>1255</v>
      </c>
      <c r="C372" s="2" t="s">
        <v>1256</v>
      </c>
      <c r="D372" s="5" t="s">
        <v>15</v>
      </c>
      <c r="E372" s="5" t="s">
        <v>16</v>
      </c>
      <c r="F372" s="5" t="s">
        <v>17</v>
      </c>
      <c r="G372" s="5" t="s">
        <v>18</v>
      </c>
      <c r="H372" s="3" t="s">
        <v>417</v>
      </c>
      <c r="I372" s="3"/>
      <c r="J372" s="3" t="s">
        <v>1257</v>
      </c>
      <c r="K372" s="5" t="s">
        <v>23</v>
      </c>
      <c r="L372" s="5">
        <v>8.5</v>
      </c>
      <c r="M372" s="2" t="s">
        <v>1258</v>
      </c>
    </row>
    <row r="373" spans="1:13" x14ac:dyDescent="0.25">
      <c r="A373" s="5" t="str">
        <f>"6281048113882"</f>
        <v>6281048113882</v>
      </c>
      <c r="B373" s="2" t="s">
        <v>1259</v>
      </c>
      <c r="C373" s="2" t="s">
        <v>1260</v>
      </c>
      <c r="D373" s="5" t="s">
        <v>15</v>
      </c>
      <c r="E373" s="5" t="s">
        <v>16</v>
      </c>
      <c r="F373" s="5" t="s">
        <v>17</v>
      </c>
      <c r="G373" s="5" t="s">
        <v>18</v>
      </c>
      <c r="H373" s="3" t="s">
        <v>27</v>
      </c>
      <c r="I373" s="3" t="s">
        <v>33</v>
      </c>
      <c r="J373" s="3" t="s">
        <v>354</v>
      </c>
      <c r="K373" s="5" t="s">
        <v>23</v>
      </c>
      <c r="L373" s="5">
        <v>15.75</v>
      </c>
      <c r="M373" s="2" t="s">
        <v>1261</v>
      </c>
    </row>
    <row r="374" spans="1:13" x14ac:dyDescent="0.25">
      <c r="A374" s="5" t="str">
        <f>"6281007032131"</f>
        <v>6281007032131</v>
      </c>
      <c r="B374" s="2" t="s">
        <v>1262</v>
      </c>
      <c r="C374" s="2" t="s">
        <v>1263</v>
      </c>
      <c r="D374" s="5" t="s">
        <v>15</v>
      </c>
      <c r="E374" s="5" t="s">
        <v>16</v>
      </c>
      <c r="F374" s="5" t="s">
        <v>17</v>
      </c>
      <c r="G374" s="5" t="s">
        <v>18</v>
      </c>
      <c r="H374" s="3" t="s">
        <v>32</v>
      </c>
      <c r="I374" s="3"/>
      <c r="J374" s="3"/>
      <c r="K374" s="5" t="s">
        <v>23</v>
      </c>
      <c r="L374" s="5">
        <v>37.25</v>
      </c>
      <c r="M374" s="2" t="s">
        <v>1264</v>
      </c>
    </row>
    <row r="375" spans="1:13" x14ac:dyDescent="0.25">
      <c r="A375" s="5" t="str">
        <f>"2145671000008"</f>
        <v>2145671000008</v>
      </c>
      <c r="B375" s="2" t="s">
        <v>1265</v>
      </c>
      <c r="C375" s="2" t="s">
        <v>1266</v>
      </c>
      <c r="D375" s="5" t="s">
        <v>15</v>
      </c>
      <c r="E375" s="5" t="s">
        <v>16</v>
      </c>
      <c r="F375" s="5" t="s">
        <v>17</v>
      </c>
      <c r="G375" s="5" t="s">
        <v>18</v>
      </c>
      <c r="H375" s="3"/>
      <c r="I375" s="3"/>
      <c r="J375" s="3"/>
      <c r="K375" s="5" t="s">
        <v>19</v>
      </c>
      <c r="L375" s="5">
        <v>39.950000000000003</v>
      </c>
      <c r="M375" s="2" t="s">
        <v>1267</v>
      </c>
    </row>
    <row r="376" spans="1:13" x14ac:dyDescent="0.25">
      <c r="A376" s="5" t="str">
        <f>"3023260032168"</f>
        <v>3023260032168</v>
      </c>
      <c r="B376" s="2" t="s">
        <v>1268</v>
      </c>
      <c r="C376" s="2" t="s">
        <v>1269</v>
      </c>
      <c r="D376" s="5" t="s">
        <v>15</v>
      </c>
      <c r="E376" s="5" t="s">
        <v>16</v>
      </c>
      <c r="F376" s="5" t="s">
        <v>17</v>
      </c>
      <c r="G376" s="5" t="s">
        <v>18</v>
      </c>
      <c r="H376" s="3" t="s">
        <v>889</v>
      </c>
      <c r="I376" s="3"/>
      <c r="J376" s="3"/>
      <c r="K376" s="5" t="s">
        <v>23</v>
      </c>
      <c r="L376" s="5">
        <v>17.25</v>
      </c>
      <c r="M376" s="2" t="s">
        <v>1270</v>
      </c>
    </row>
    <row r="377" spans="1:13" x14ac:dyDescent="0.25">
      <c r="A377" s="5" t="str">
        <f>"6281022118087"</f>
        <v>6281022118087</v>
      </c>
      <c r="B377" s="2" t="s">
        <v>1271</v>
      </c>
      <c r="C377" s="2" t="s">
        <v>1272</v>
      </c>
      <c r="D377" s="5" t="s">
        <v>15</v>
      </c>
      <c r="E377" s="5" t="s">
        <v>16</v>
      </c>
      <c r="F377" s="5" t="s">
        <v>17</v>
      </c>
      <c r="G377" s="5" t="s">
        <v>18</v>
      </c>
      <c r="H377" s="3" t="s">
        <v>59</v>
      </c>
      <c r="I377" s="3"/>
      <c r="J377" s="3" t="s">
        <v>1154</v>
      </c>
      <c r="K377" s="5" t="s">
        <v>23</v>
      </c>
      <c r="L377" s="5">
        <v>6.95</v>
      </c>
      <c r="M377" s="2" t="s">
        <v>1273</v>
      </c>
    </row>
    <row r="378" spans="1:13" x14ac:dyDescent="0.25">
      <c r="A378" s="5" t="str">
        <f>"5711953073991"</f>
        <v>5711953073991</v>
      </c>
      <c r="B378" s="2" t="s">
        <v>1274</v>
      </c>
      <c r="C378" s="2" t="s">
        <v>1275</v>
      </c>
      <c r="D378" s="5" t="s">
        <v>15</v>
      </c>
      <c r="E378" s="5" t="s">
        <v>16</v>
      </c>
      <c r="F378" s="5" t="s">
        <v>17</v>
      </c>
      <c r="G378" s="5" t="s">
        <v>18</v>
      </c>
      <c r="H378" s="3" t="s">
        <v>27</v>
      </c>
      <c r="I378" s="3" t="s">
        <v>174</v>
      </c>
      <c r="J378" s="3" t="s">
        <v>915</v>
      </c>
      <c r="K378" s="5" t="s">
        <v>23</v>
      </c>
      <c r="L378" s="5">
        <v>17.25</v>
      </c>
      <c r="M378" s="2" t="s">
        <v>1276</v>
      </c>
    </row>
    <row r="379" spans="1:13" x14ac:dyDescent="0.25">
      <c r="A379" s="5" t="str">
        <f>"6281024010600"</f>
        <v>6281024010600</v>
      </c>
      <c r="B379" s="2" t="s">
        <v>1277</v>
      </c>
      <c r="C379" s="2" t="s">
        <v>1278</v>
      </c>
      <c r="D379" s="5" t="s">
        <v>15</v>
      </c>
      <c r="E379" s="5" t="s">
        <v>16</v>
      </c>
      <c r="F379" s="5" t="s">
        <v>17</v>
      </c>
      <c r="G379" s="5" t="s">
        <v>18</v>
      </c>
      <c r="H379" s="3" t="s">
        <v>979</v>
      </c>
      <c r="I379" s="3"/>
      <c r="J379" s="3"/>
      <c r="K379" s="5" t="s">
        <v>23</v>
      </c>
      <c r="L379" s="5">
        <v>35</v>
      </c>
      <c r="M379" s="2" t="s">
        <v>1279</v>
      </c>
    </row>
    <row r="380" spans="1:13" x14ac:dyDescent="0.25">
      <c r="A380" s="5" t="str">
        <f>"6281007031363"</f>
        <v>6281007031363</v>
      </c>
      <c r="B380" s="2" t="s">
        <v>1280</v>
      </c>
      <c r="C380" s="2" t="s">
        <v>1281</v>
      </c>
      <c r="D380" s="5" t="s">
        <v>15</v>
      </c>
      <c r="E380" s="5" t="s">
        <v>16</v>
      </c>
      <c r="F380" s="5" t="s">
        <v>17</v>
      </c>
      <c r="G380" s="5" t="s">
        <v>18</v>
      </c>
      <c r="H380" s="3" t="s">
        <v>32</v>
      </c>
      <c r="I380" s="3"/>
      <c r="J380" s="3" t="s">
        <v>238</v>
      </c>
      <c r="K380" s="5" t="s">
        <v>23</v>
      </c>
      <c r="L380" s="5">
        <v>7.25</v>
      </c>
      <c r="M380" s="2" t="s">
        <v>1282</v>
      </c>
    </row>
    <row r="381" spans="1:13" x14ac:dyDescent="0.25">
      <c r="A381" s="5" t="str">
        <f>"6281022134056"</f>
        <v>6281022134056</v>
      </c>
      <c r="B381" s="2" t="s">
        <v>1283</v>
      </c>
      <c r="C381" s="2" t="s">
        <v>1284</v>
      </c>
      <c r="D381" s="5" t="s">
        <v>15</v>
      </c>
      <c r="E381" s="5" t="s">
        <v>16</v>
      </c>
      <c r="F381" s="5" t="s">
        <v>17</v>
      </c>
      <c r="G381" s="5" t="s">
        <v>18</v>
      </c>
      <c r="H381" s="3"/>
      <c r="I381" s="3"/>
      <c r="J381" s="3" t="s">
        <v>1285</v>
      </c>
      <c r="K381" s="5" t="s">
        <v>23</v>
      </c>
      <c r="L381" s="5">
        <v>7.5</v>
      </c>
      <c r="M381" s="2" t="s">
        <v>1286</v>
      </c>
    </row>
    <row r="382" spans="1:13" x14ac:dyDescent="0.25">
      <c r="A382" s="5" t="str">
        <f>"5760466772167"</f>
        <v>5760466772167</v>
      </c>
      <c r="B382" s="2" t="s">
        <v>1287</v>
      </c>
      <c r="C382" s="2" t="s">
        <v>1288</v>
      </c>
      <c r="D382" s="5" t="s">
        <v>15</v>
      </c>
      <c r="E382" s="5" t="s">
        <v>16</v>
      </c>
      <c r="F382" s="5" t="s">
        <v>17</v>
      </c>
      <c r="G382" s="5" t="s">
        <v>18</v>
      </c>
      <c r="H382" s="3" t="s">
        <v>509</v>
      </c>
      <c r="I382" s="3" t="s">
        <v>174</v>
      </c>
      <c r="J382" s="3" t="s">
        <v>510</v>
      </c>
      <c r="K382" s="5" t="s">
        <v>23</v>
      </c>
      <c r="L382" s="5">
        <v>12.25</v>
      </c>
      <c r="M382" s="2" t="s">
        <v>1289</v>
      </c>
    </row>
    <row r="383" spans="1:13" x14ac:dyDescent="0.25">
      <c r="A383" s="5" t="str">
        <f>"6271002422013"</f>
        <v>6271002422013</v>
      </c>
      <c r="B383" s="2" t="s">
        <v>1290</v>
      </c>
      <c r="C383" s="2" t="s">
        <v>1291</v>
      </c>
      <c r="D383" s="5" t="s">
        <v>15</v>
      </c>
      <c r="E383" s="5" t="s">
        <v>16</v>
      </c>
      <c r="F383" s="5" t="s">
        <v>17</v>
      </c>
      <c r="G383" s="5" t="s">
        <v>18</v>
      </c>
      <c r="H383" s="3" t="s">
        <v>100</v>
      </c>
      <c r="I383" s="3"/>
      <c r="J383" s="3" t="s">
        <v>72</v>
      </c>
      <c r="K383" s="5" t="s">
        <v>23</v>
      </c>
      <c r="L383" s="5">
        <v>5</v>
      </c>
      <c r="M383" s="2" t="s">
        <v>1292</v>
      </c>
    </row>
    <row r="384" spans="1:13" x14ac:dyDescent="0.25">
      <c r="A384" s="5" t="str">
        <f>"6281007033213"</f>
        <v>6281007033213</v>
      </c>
      <c r="B384" s="2" t="s">
        <v>1293</v>
      </c>
      <c r="C384" s="2" t="s">
        <v>1294</v>
      </c>
      <c r="D384" s="5" t="s">
        <v>15</v>
      </c>
      <c r="E384" s="5" t="s">
        <v>16</v>
      </c>
      <c r="F384" s="5" t="s">
        <v>17</v>
      </c>
      <c r="G384" s="5" t="s">
        <v>18</v>
      </c>
      <c r="H384" s="3" t="s">
        <v>32</v>
      </c>
      <c r="I384" s="3" t="s">
        <v>33</v>
      </c>
      <c r="J384" s="3"/>
      <c r="K384" s="5" t="s">
        <v>23</v>
      </c>
      <c r="L384" s="5">
        <v>17.5</v>
      </c>
      <c r="M384" s="2" t="s">
        <v>1295</v>
      </c>
    </row>
    <row r="385" spans="1:13" x14ac:dyDescent="0.25">
      <c r="A385" s="5" t="str">
        <f>"6281022110357"</f>
        <v>6281022110357</v>
      </c>
      <c r="B385" s="2" t="s">
        <v>1296</v>
      </c>
      <c r="C385" s="2" t="s">
        <v>1297</v>
      </c>
      <c r="D385" s="5" t="s">
        <v>15</v>
      </c>
      <c r="E385" s="5" t="s">
        <v>16</v>
      </c>
      <c r="F385" s="5" t="s">
        <v>17</v>
      </c>
      <c r="G385" s="5" t="s">
        <v>18</v>
      </c>
      <c r="H385" s="3"/>
      <c r="I385" s="3"/>
      <c r="J385" s="3"/>
      <c r="K385" s="5" t="s">
        <v>23</v>
      </c>
      <c r="L385" s="5">
        <v>8.5</v>
      </c>
      <c r="M385" s="2" t="s">
        <v>1298</v>
      </c>
    </row>
    <row r="386" spans="1:13" x14ac:dyDescent="0.25">
      <c r="A386" s="5" t="str">
        <f>"6281007045681"</f>
        <v>6281007045681</v>
      </c>
      <c r="B386" s="2" t="s">
        <v>1299</v>
      </c>
      <c r="C386" s="2" t="s">
        <v>1300</v>
      </c>
      <c r="D386" s="5" t="s">
        <v>15</v>
      </c>
      <c r="E386" s="5" t="s">
        <v>16</v>
      </c>
      <c r="F386" s="5" t="s">
        <v>17</v>
      </c>
      <c r="G386" s="5" t="s">
        <v>18</v>
      </c>
      <c r="H386" s="3" t="s">
        <v>32</v>
      </c>
      <c r="I386" s="3" t="s">
        <v>33</v>
      </c>
      <c r="J386" s="3" t="s">
        <v>96</v>
      </c>
      <c r="K386" s="5" t="s">
        <v>23</v>
      </c>
      <c r="L386" s="5">
        <v>51.5</v>
      </c>
      <c r="M386" s="2" t="s">
        <v>1301</v>
      </c>
    </row>
    <row r="387" spans="1:13" x14ac:dyDescent="0.25">
      <c r="A387" s="5" t="str">
        <f>"6281024012406"</f>
        <v>6281024012406</v>
      </c>
      <c r="B387" s="2" t="s">
        <v>1302</v>
      </c>
      <c r="C387" s="2" t="s">
        <v>1303</v>
      </c>
      <c r="D387" s="5" t="s">
        <v>15</v>
      </c>
      <c r="E387" s="5" t="s">
        <v>16</v>
      </c>
      <c r="F387" s="5" t="s">
        <v>17</v>
      </c>
      <c r="G387" s="5" t="s">
        <v>18</v>
      </c>
      <c r="H387" s="3" t="s">
        <v>979</v>
      </c>
      <c r="I387" s="3" t="s">
        <v>33</v>
      </c>
      <c r="J387" s="3" t="s">
        <v>510</v>
      </c>
      <c r="K387" s="5" t="s">
        <v>23</v>
      </c>
      <c r="L387" s="5">
        <v>24.5</v>
      </c>
      <c r="M387" s="2" t="s">
        <v>1304</v>
      </c>
    </row>
    <row r="388" spans="1:13" x14ac:dyDescent="0.25">
      <c r="A388" s="5" t="str">
        <f>"6281057002658"</f>
        <v>6281057002658</v>
      </c>
      <c r="B388" s="2" t="s">
        <v>1305</v>
      </c>
      <c r="C388" s="2" t="s">
        <v>1306</v>
      </c>
      <c r="D388" s="5" t="s">
        <v>15</v>
      </c>
      <c r="E388" s="5" t="s">
        <v>16</v>
      </c>
      <c r="F388" s="5" t="s">
        <v>17</v>
      </c>
      <c r="G388" s="5" t="s">
        <v>18</v>
      </c>
      <c r="H388" s="3" t="s">
        <v>44</v>
      </c>
      <c r="I388" s="3"/>
      <c r="J388" s="3"/>
      <c r="K388" s="5" t="s">
        <v>23</v>
      </c>
      <c r="L388" s="5">
        <v>5</v>
      </c>
      <c r="M388" s="2" t="s">
        <v>1307</v>
      </c>
    </row>
    <row r="389" spans="1:13" x14ac:dyDescent="0.25">
      <c r="A389" s="5" t="str">
        <f>"6281007118132"</f>
        <v>6281007118132</v>
      </c>
      <c r="B389" s="2" t="s">
        <v>1308</v>
      </c>
      <c r="C389" s="2" t="s">
        <v>1309</v>
      </c>
      <c r="D389" s="5" t="s">
        <v>15</v>
      </c>
      <c r="E389" s="5" t="s">
        <v>16</v>
      </c>
      <c r="F389" s="5" t="s">
        <v>17</v>
      </c>
      <c r="G389" s="5" t="s">
        <v>18</v>
      </c>
      <c r="H389" s="3" t="s">
        <v>32</v>
      </c>
      <c r="I389" s="3"/>
      <c r="J389" s="3"/>
      <c r="K389" s="5" t="s">
        <v>23</v>
      </c>
      <c r="L389" s="5">
        <v>6</v>
      </c>
      <c r="M389" s="2" t="s">
        <v>1310</v>
      </c>
    </row>
    <row r="390" spans="1:13" x14ac:dyDescent="0.25">
      <c r="A390" s="5" t="str">
        <f>"6281018292159"</f>
        <v>6281018292159</v>
      </c>
      <c r="B390" s="2" t="s">
        <v>1311</v>
      </c>
      <c r="C390" s="2" t="s">
        <v>1312</v>
      </c>
      <c r="D390" s="5" t="s">
        <v>15</v>
      </c>
      <c r="E390" s="5" t="s">
        <v>16</v>
      </c>
      <c r="F390" s="5" t="s">
        <v>17</v>
      </c>
      <c r="G390" s="5" t="s">
        <v>18</v>
      </c>
      <c r="H390" s="3" t="s">
        <v>67</v>
      </c>
      <c r="I390" s="3"/>
      <c r="J390" s="3"/>
      <c r="K390" s="5" t="s">
        <v>23</v>
      </c>
      <c r="L390" s="5">
        <v>10</v>
      </c>
      <c r="M390" s="2" t="s">
        <v>1313</v>
      </c>
    </row>
    <row r="391" spans="1:13" x14ac:dyDescent="0.25">
      <c r="A391" s="5" t="str">
        <f>"2140342000004"</f>
        <v>2140342000004</v>
      </c>
      <c r="B391" s="2" t="s">
        <v>1314</v>
      </c>
      <c r="C391" s="2" t="s">
        <v>1315</v>
      </c>
      <c r="D391" s="5" t="s">
        <v>15</v>
      </c>
      <c r="E391" s="5" t="s">
        <v>16</v>
      </c>
      <c r="F391" s="5" t="s">
        <v>17</v>
      </c>
      <c r="G391" s="5" t="s">
        <v>18</v>
      </c>
      <c r="H391" s="3"/>
      <c r="I391" s="3"/>
      <c r="J391" s="3"/>
      <c r="K391" s="5" t="s">
        <v>19</v>
      </c>
      <c r="L391" s="5">
        <v>27.45</v>
      </c>
      <c r="M391" s="2" t="s">
        <v>1316</v>
      </c>
    </row>
    <row r="392" spans="1:13" x14ac:dyDescent="0.25">
      <c r="A392" s="5" t="str">
        <f>"6281007063135"</f>
        <v>6281007063135</v>
      </c>
      <c r="B392" s="2" t="s">
        <v>1317</v>
      </c>
      <c r="C392" s="2" t="s">
        <v>1318</v>
      </c>
      <c r="D392" s="5" t="s">
        <v>15</v>
      </c>
      <c r="E392" s="5" t="s">
        <v>16</v>
      </c>
      <c r="F392" s="5" t="s">
        <v>17</v>
      </c>
      <c r="G392" s="5" t="s">
        <v>18</v>
      </c>
      <c r="H392" s="3" t="s">
        <v>32</v>
      </c>
      <c r="I392" s="3" t="s">
        <v>33</v>
      </c>
      <c r="J392" s="3" t="s">
        <v>392</v>
      </c>
      <c r="K392" s="5" t="s">
        <v>23</v>
      </c>
      <c r="L392" s="5">
        <v>50</v>
      </c>
      <c r="M392" s="2" t="s">
        <v>1319</v>
      </c>
    </row>
    <row r="393" spans="1:13" x14ac:dyDescent="0.25">
      <c r="A393" s="5" t="str">
        <f>"6281057012015"</f>
        <v>6281057012015</v>
      </c>
      <c r="B393" s="2" t="s">
        <v>1320</v>
      </c>
      <c r="C393" s="2" t="s">
        <v>1321</v>
      </c>
      <c r="D393" s="5" t="s">
        <v>15</v>
      </c>
      <c r="E393" s="5" t="s">
        <v>16</v>
      </c>
      <c r="F393" s="5" t="s">
        <v>17</v>
      </c>
      <c r="G393" s="5" t="s">
        <v>18</v>
      </c>
      <c r="H393" s="3" t="s">
        <v>44</v>
      </c>
      <c r="I393" s="3" t="s">
        <v>33</v>
      </c>
      <c r="J393" s="3" t="s">
        <v>238</v>
      </c>
      <c r="K393" s="5" t="s">
        <v>23</v>
      </c>
      <c r="L393" s="5">
        <v>6.5</v>
      </c>
      <c r="M393" s="2" t="s">
        <v>1322</v>
      </c>
    </row>
    <row r="394" spans="1:13" x14ac:dyDescent="0.25">
      <c r="A394" s="5" t="str">
        <f>"8002710415039"</f>
        <v>8002710415039</v>
      </c>
      <c r="B394" s="2" t="s">
        <v>1323</v>
      </c>
      <c r="C394" s="2" t="s">
        <v>1324</v>
      </c>
      <c r="D394" s="5" t="s">
        <v>15</v>
      </c>
      <c r="E394" s="5" t="s">
        <v>16</v>
      </c>
      <c r="F394" s="5" t="s">
        <v>17</v>
      </c>
      <c r="G394" s="5" t="s">
        <v>18</v>
      </c>
      <c r="H394" s="3" t="s">
        <v>1325</v>
      </c>
      <c r="I394" s="3"/>
      <c r="J394" s="3"/>
      <c r="K394" s="5" t="s">
        <v>23</v>
      </c>
      <c r="L394" s="5">
        <v>36</v>
      </c>
      <c r="M394" s="2" t="s">
        <v>1326</v>
      </c>
    </row>
    <row r="395" spans="1:13" x14ac:dyDescent="0.25">
      <c r="A395" s="5" t="str">
        <f>"5711953169946"</f>
        <v>5711953169946</v>
      </c>
      <c r="B395" s="2" t="s">
        <v>1327</v>
      </c>
      <c r="C395" s="2" t="s">
        <v>1328</v>
      </c>
      <c r="D395" s="5" t="s">
        <v>15</v>
      </c>
      <c r="E395" s="5" t="s">
        <v>16</v>
      </c>
      <c r="F395" s="5" t="s">
        <v>17</v>
      </c>
      <c r="G395" s="5" t="s">
        <v>18</v>
      </c>
      <c r="H395" s="3" t="s">
        <v>27</v>
      </c>
      <c r="I395" s="3"/>
      <c r="J395" s="3" t="s">
        <v>109</v>
      </c>
      <c r="K395" s="5" t="s">
        <v>23</v>
      </c>
      <c r="L395" s="5">
        <v>32</v>
      </c>
      <c r="M395" s="2" t="s">
        <v>1329</v>
      </c>
    </row>
    <row r="396" spans="1:13" x14ac:dyDescent="0.25">
      <c r="A396" s="5" t="str">
        <f>"6281039121018"</f>
        <v>6281039121018</v>
      </c>
      <c r="B396" s="2" t="s">
        <v>1330</v>
      </c>
      <c r="C396" s="2" t="s">
        <v>1331</v>
      </c>
      <c r="D396" s="5" t="s">
        <v>15</v>
      </c>
      <c r="E396" s="5" t="s">
        <v>16</v>
      </c>
      <c r="F396" s="5" t="s">
        <v>17</v>
      </c>
      <c r="G396" s="5" t="s">
        <v>18</v>
      </c>
      <c r="H396" s="3" t="s">
        <v>146</v>
      </c>
      <c r="I396" s="3"/>
      <c r="J396" s="3"/>
      <c r="K396" s="5" t="s">
        <v>23</v>
      </c>
      <c r="L396" s="5">
        <v>6.75</v>
      </c>
      <c r="M396" s="2" t="s">
        <v>1332</v>
      </c>
    </row>
    <row r="397" spans="1:13" x14ac:dyDescent="0.25">
      <c r="A397" s="5" t="str">
        <f>"6281003151027"</f>
        <v>6281003151027</v>
      </c>
      <c r="B397" s="2" t="s">
        <v>1333</v>
      </c>
      <c r="C397" s="2" t="s">
        <v>1334</v>
      </c>
      <c r="D397" s="5" t="s">
        <v>15</v>
      </c>
      <c r="E397" s="5" t="s">
        <v>16</v>
      </c>
      <c r="F397" s="5" t="s">
        <v>17</v>
      </c>
      <c r="G397" s="5" t="s">
        <v>18</v>
      </c>
      <c r="H397" s="3" t="s">
        <v>1335</v>
      </c>
      <c r="I397" s="3"/>
      <c r="J397" s="3"/>
      <c r="K397" s="5" t="s">
        <v>23</v>
      </c>
      <c r="L397" s="5">
        <v>19</v>
      </c>
      <c r="M397" s="2" t="s">
        <v>1336</v>
      </c>
    </row>
    <row r="398" spans="1:13" x14ac:dyDescent="0.25">
      <c r="A398" s="5" t="str">
        <f>"3482010000015"</f>
        <v>3482010000015</v>
      </c>
      <c r="B398" s="2" t="s">
        <v>1337</v>
      </c>
      <c r="C398" s="2" t="s">
        <v>1338</v>
      </c>
      <c r="D398" s="5" t="s">
        <v>15</v>
      </c>
      <c r="E398" s="5" t="s">
        <v>16</v>
      </c>
      <c r="F398" s="5" t="s">
        <v>17</v>
      </c>
      <c r="G398" s="5" t="s">
        <v>18</v>
      </c>
      <c r="H398" s="3" t="s">
        <v>889</v>
      </c>
      <c r="I398" s="3"/>
      <c r="J398" s="3"/>
      <c r="K398" s="5" t="s">
        <v>23</v>
      </c>
      <c r="L398" s="5">
        <v>54.5</v>
      </c>
      <c r="M398" s="2" t="s">
        <v>1339</v>
      </c>
    </row>
    <row r="399" spans="1:13" x14ac:dyDescent="0.25">
      <c r="A399" s="5" t="str">
        <f>"6191513505145"</f>
        <v>6191513505145</v>
      </c>
      <c r="B399" s="2" t="s">
        <v>1340</v>
      </c>
      <c r="C399" s="2" t="s">
        <v>1341</v>
      </c>
      <c r="D399" s="5" t="s">
        <v>15</v>
      </c>
      <c r="E399" s="5" t="s">
        <v>16</v>
      </c>
      <c r="F399" s="5" t="s">
        <v>17</v>
      </c>
      <c r="G399" s="5" t="s">
        <v>18</v>
      </c>
      <c r="H399" s="3"/>
      <c r="I399" s="3"/>
      <c r="J399" s="3" t="s">
        <v>1342</v>
      </c>
      <c r="K399" s="5" t="s">
        <v>23</v>
      </c>
      <c r="L399" s="5">
        <v>23.75</v>
      </c>
      <c r="M399" s="2" t="s">
        <v>1343</v>
      </c>
    </row>
    <row r="400" spans="1:13" x14ac:dyDescent="0.25">
      <c r="A400" s="5" t="str">
        <f>"6281048114452"</f>
        <v>6281048114452</v>
      </c>
      <c r="B400" s="2" t="s">
        <v>1344</v>
      </c>
      <c r="C400" s="2" t="s">
        <v>1345</v>
      </c>
      <c r="D400" s="5" t="s">
        <v>15</v>
      </c>
      <c r="E400" s="5" t="s">
        <v>16</v>
      </c>
      <c r="F400" s="5" t="s">
        <v>17</v>
      </c>
      <c r="G400" s="5" t="s">
        <v>18</v>
      </c>
      <c r="H400" s="3" t="s">
        <v>509</v>
      </c>
      <c r="I400" s="3"/>
      <c r="J400" s="3"/>
      <c r="K400" s="5" t="s">
        <v>23</v>
      </c>
      <c r="L400" s="5">
        <v>11.5</v>
      </c>
      <c r="M400" s="2" t="s">
        <v>1346</v>
      </c>
    </row>
    <row r="401" spans="1:13" x14ac:dyDescent="0.25">
      <c r="A401" s="5" t="str">
        <f>"6281007053020"</f>
        <v>6281007053020</v>
      </c>
      <c r="B401" s="2" t="s">
        <v>1347</v>
      </c>
      <c r="C401" s="2" t="s">
        <v>1348</v>
      </c>
      <c r="D401" s="5" t="s">
        <v>15</v>
      </c>
      <c r="E401" s="5" t="s">
        <v>16</v>
      </c>
      <c r="F401" s="5" t="s">
        <v>17</v>
      </c>
      <c r="G401" s="5" t="s">
        <v>18</v>
      </c>
      <c r="H401" s="3" t="s">
        <v>32</v>
      </c>
      <c r="I401" s="3"/>
      <c r="J401" s="3"/>
      <c r="K401" s="5" t="s">
        <v>23</v>
      </c>
      <c r="L401" s="5">
        <v>88.95</v>
      </c>
      <c r="M401" s="2" t="s">
        <v>1349</v>
      </c>
    </row>
    <row r="402" spans="1:13" x14ac:dyDescent="0.25">
      <c r="A402" s="5" t="str">
        <f>"3073781048995"</f>
        <v>3073781048995</v>
      </c>
      <c r="B402" s="2" t="s">
        <v>1350</v>
      </c>
      <c r="C402" s="2" t="s">
        <v>1351</v>
      </c>
      <c r="D402" s="5" t="s">
        <v>15</v>
      </c>
      <c r="E402" s="5" t="s">
        <v>16</v>
      </c>
      <c r="F402" s="5" t="s">
        <v>17</v>
      </c>
      <c r="G402" s="5" t="s">
        <v>18</v>
      </c>
      <c r="H402" s="3" t="s">
        <v>425</v>
      </c>
      <c r="I402" s="3"/>
      <c r="J402" s="3"/>
      <c r="K402" s="5" t="s">
        <v>23</v>
      </c>
      <c r="L402" s="5">
        <v>33.25</v>
      </c>
      <c r="M402" s="2" t="s">
        <v>1352</v>
      </c>
    </row>
    <row r="403" spans="1:13" x14ac:dyDescent="0.25">
      <c r="A403" s="5" t="str">
        <f>"6281007024457"</f>
        <v>6281007024457</v>
      </c>
      <c r="B403" s="2" t="s">
        <v>1353</v>
      </c>
      <c r="C403" s="2" t="s">
        <v>1354</v>
      </c>
      <c r="D403" s="5" t="s">
        <v>15</v>
      </c>
      <c r="E403" s="5" t="s">
        <v>16</v>
      </c>
      <c r="F403" s="5" t="s">
        <v>17</v>
      </c>
      <c r="G403" s="5" t="s">
        <v>18</v>
      </c>
      <c r="H403" s="3" t="s">
        <v>32</v>
      </c>
      <c r="I403" s="3"/>
      <c r="J403" s="3"/>
      <c r="K403" s="5" t="s">
        <v>23</v>
      </c>
      <c r="L403" s="5">
        <v>37.75</v>
      </c>
      <c r="M403" s="2" t="s">
        <v>1355</v>
      </c>
    </row>
    <row r="404" spans="1:13" x14ac:dyDescent="0.25">
      <c r="A404" s="5" t="str">
        <f>"6271002118428"</f>
        <v>6271002118428</v>
      </c>
      <c r="B404" s="2" t="s">
        <v>1356</v>
      </c>
      <c r="C404" s="2" t="s">
        <v>1357</v>
      </c>
      <c r="D404" s="5" t="s">
        <v>15</v>
      </c>
      <c r="E404" s="5" t="s">
        <v>16</v>
      </c>
      <c r="F404" s="5" t="s">
        <v>17</v>
      </c>
      <c r="G404" s="5" t="s">
        <v>18</v>
      </c>
      <c r="H404" s="3" t="s">
        <v>100</v>
      </c>
      <c r="I404" s="3"/>
      <c r="J404" s="3"/>
      <c r="K404" s="5" t="s">
        <v>23</v>
      </c>
      <c r="L404" s="5">
        <v>23.25</v>
      </c>
      <c r="M404" s="2" t="s">
        <v>1358</v>
      </c>
    </row>
    <row r="405" spans="1:13" x14ac:dyDescent="0.25">
      <c r="A405" s="5" t="str">
        <f>"6281018130130"</f>
        <v>6281018130130</v>
      </c>
      <c r="B405" s="2" t="s">
        <v>1359</v>
      </c>
      <c r="C405" s="2" t="s">
        <v>1360</v>
      </c>
      <c r="D405" s="5" t="s">
        <v>15</v>
      </c>
      <c r="E405" s="5" t="s">
        <v>16</v>
      </c>
      <c r="F405" s="5" t="s">
        <v>17</v>
      </c>
      <c r="G405" s="5" t="s">
        <v>18</v>
      </c>
      <c r="H405" s="3" t="s">
        <v>67</v>
      </c>
      <c r="I405" s="3"/>
      <c r="J405" s="3"/>
      <c r="K405" s="5" t="s">
        <v>23</v>
      </c>
      <c r="L405" s="5">
        <v>2.5</v>
      </c>
      <c r="M405" s="2" t="s">
        <v>1361</v>
      </c>
    </row>
    <row r="406" spans="1:13" x14ac:dyDescent="0.25">
      <c r="A406" s="5" t="str">
        <f>"6281022132397"</f>
        <v>6281022132397</v>
      </c>
      <c r="B406" s="2" t="s">
        <v>1362</v>
      </c>
      <c r="C406" s="2" t="s">
        <v>1363</v>
      </c>
      <c r="D406" s="5" t="s">
        <v>15</v>
      </c>
      <c r="E406" s="5" t="s">
        <v>16</v>
      </c>
      <c r="F406" s="5" t="s">
        <v>17</v>
      </c>
      <c r="G406" s="5" t="s">
        <v>18</v>
      </c>
      <c r="H406" s="3"/>
      <c r="I406" s="3"/>
      <c r="J406" s="3" t="s">
        <v>371</v>
      </c>
      <c r="K406" s="5" t="s">
        <v>23</v>
      </c>
      <c r="L406" s="5">
        <v>5</v>
      </c>
      <c r="M406" s="2" t="s">
        <v>1364</v>
      </c>
    </row>
    <row r="407" spans="1:13" x14ac:dyDescent="0.25">
      <c r="A407" s="5" t="str">
        <f>"6281007039000"</f>
        <v>6281007039000</v>
      </c>
      <c r="B407" s="2" t="s">
        <v>1365</v>
      </c>
      <c r="C407" s="2" t="s">
        <v>1366</v>
      </c>
      <c r="D407" s="5" t="s">
        <v>15</v>
      </c>
      <c r="E407" s="5" t="s">
        <v>16</v>
      </c>
      <c r="F407" s="5" t="s">
        <v>17</v>
      </c>
      <c r="G407" s="5" t="s">
        <v>18</v>
      </c>
      <c r="H407" s="3" t="s">
        <v>32</v>
      </c>
      <c r="I407" s="3"/>
      <c r="J407" s="3"/>
      <c r="K407" s="5" t="s">
        <v>23</v>
      </c>
      <c r="L407" s="5">
        <v>27.25</v>
      </c>
      <c r="M407" s="2" t="s">
        <v>1367</v>
      </c>
    </row>
    <row r="408" spans="1:13" x14ac:dyDescent="0.25">
      <c r="A408" s="5" t="str">
        <f>"6281022121087"</f>
        <v>6281022121087</v>
      </c>
      <c r="B408" s="2" t="s">
        <v>1368</v>
      </c>
      <c r="C408" s="2" t="s">
        <v>1369</v>
      </c>
      <c r="D408" s="5" t="s">
        <v>15</v>
      </c>
      <c r="E408" s="5" t="s">
        <v>16</v>
      </c>
      <c r="F408" s="5" t="s">
        <v>17</v>
      </c>
      <c r="G408" s="5" t="s">
        <v>18</v>
      </c>
      <c r="H408" s="3" t="s">
        <v>1370</v>
      </c>
      <c r="I408" s="3"/>
      <c r="J408" s="3" t="s">
        <v>1371</v>
      </c>
      <c r="K408" s="5" t="s">
        <v>23</v>
      </c>
      <c r="L408" s="5">
        <v>13</v>
      </c>
      <c r="M408" s="2" t="s">
        <v>1372</v>
      </c>
    </row>
    <row r="409" spans="1:13" x14ac:dyDescent="0.25">
      <c r="A409" s="5" t="str">
        <f>"6281007023955"</f>
        <v>6281007023955</v>
      </c>
      <c r="B409" s="2" t="s">
        <v>1373</v>
      </c>
      <c r="C409" s="2" t="s">
        <v>1374</v>
      </c>
      <c r="D409" s="5" t="s">
        <v>15</v>
      </c>
      <c r="E409" s="5" t="s">
        <v>16</v>
      </c>
      <c r="F409" s="5" t="s">
        <v>17</v>
      </c>
      <c r="G409" s="5" t="s">
        <v>18</v>
      </c>
      <c r="H409" s="3" t="s">
        <v>32</v>
      </c>
      <c r="I409" s="3"/>
      <c r="J409" s="3"/>
      <c r="K409" s="5" t="s">
        <v>23</v>
      </c>
      <c r="L409" s="5">
        <v>7.95</v>
      </c>
      <c r="M409" s="2" t="s">
        <v>1375</v>
      </c>
    </row>
    <row r="410" spans="1:13" x14ac:dyDescent="0.25">
      <c r="A410" s="5" t="str">
        <f>"6281024010815"</f>
        <v>6281024010815</v>
      </c>
      <c r="B410" s="2" t="s">
        <v>1376</v>
      </c>
      <c r="C410" s="2" t="s">
        <v>1377</v>
      </c>
      <c r="D410" s="5" t="s">
        <v>15</v>
      </c>
      <c r="E410" s="5" t="s">
        <v>16</v>
      </c>
      <c r="F410" s="5" t="s">
        <v>17</v>
      </c>
      <c r="G410" s="5" t="s">
        <v>18</v>
      </c>
      <c r="H410" s="3" t="s">
        <v>979</v>
      </c>
      <c r="I410" s="3"/>
      <c r="J410" s="3"/>
      <c r="K410" s="5" t="s">
        <v>23</v>
      </c>
      <c r="L410" s="5">
        <v>17</v>
      </c>
      <c r="M410" s="2" t="s">
        <v>1378</v>
      </c>
    </row>
    <row r="411" spans="1:13" x14ac:dyDescent="0.25">
      <c r="A411" s="5" t="str">
        <f>"5411188300328"</f>
        <v>5411188300328</v>
      </c>
      <c r="B411" s="2" t="s">
        <v>1379</v>
      </c>
      <c r="C411" s="2" t="s">
        <v>1380</v>
      </c>
      <c r="D411" s="5" t="s">
        <v>15</v>
      </c>
      <c r="E411" s="5" t="s">
        <v>16</v>
      </c>
      <c r="F411" s="5" t="s">
        <v>17</v>
      </c>
      <c r="G411" s="5" t="s">
        <v>18</v>
      </c>
      <c r="H411" s="3" t="s">
        <v>230</v>
      </c>
      <c r="I411" s="3"/>
      <c r="J411" s="3" t="s">
        <v>238</v>
      </c>
      <c r="K411" s="5" t="s">
        <v>23</v>
      </c>
      <c r="L411" s="5">
        <v>27</v>
      </c>
      <c r="M411" s="2" t="s">
        <v>1381</v>
      </c>
    </row>
    <row r="412" spans="1:13" x14ac:dyDescent="0.25">
      <c r="A412" s="5" t="str">
        <f>"2143448000008"</f>
        <v>2143448000008</v>
      </c>
      <c r="B412" s="2" t="s">
        <v>1382</v>
      </c>
      <c r="C412" s="2" t="s">
        <v>1383</v>
      </c>
      <c r="D412" s="5" t="s">
        <v>15</v>
      </c>
      <c r="E412" s="5" t="s">
        <v>16</v>
      </c>
      <c r="F412" s="5" t="s">
        <v>17</v>
      </c>
      <c r="G412" s="5" t="s">
        <v>18</v>
      </c>
      <c r="H412" s="3"/>
      <c r="I412" s="3"/>
      <c r="J412" s="3"/>
      <c r="K412" s="5" t="s">
        <v>19</v>
      </c>
      <c r="L412" s="5">
        <v>19.95</v>
      </c>
      <c r="M412" s="2" t="s">
        <v>1384</v>
      </c>
    </row>
    <row r="413" spans="1:13" x14ac:dyDescent="0.25">
      <c r="A413" s="5" t="str">
        <f>"6281057007653"</f>
        <v>6281057007653</v>
      </c>
      <c r="B413" s="2" t="s">
        <v>1385</v>
      </c>
      <c r="C413" s="2" t="s">
        <v>1386</v>
      </c>
      <c r="D413" s="5" t="s">
        <v>15</v>
      </c>
      <c r="E413" s="5" t="s">
        <v>16</v>
      </c>
      <c r="F413" s="5" t="s">
        <v>17</v>
      </c>
      <c r="G413" s="5" t="s">
        <v>18</v>
      </c>
      <c r="H413" s="3" t="s">
        <v>44</v>
      </c>
      <c r="I413" s="3"/>
      <c r="J413" s="3"/>
      <c r="K413" s="5" t="s">
        <v>23</v>
      </c>
      <c r="L413" s="5">
        <v>38</v>
      </c>
      <c r="M413" s="2" t="s">
        <v>1387</v>
      </c>
    </row>
    <row r="414" spans="1:13" x14ac:dyDescent="0.25">
      <c r="A414" s="5" t="str">
        <f>"6297000778655"</f>
        <v>6297000778655</v>
      </c>
      <c r="B414" s="2" t="s">
        <v>1388</v>
      </c>
      <c r="C414" s="2" t="s">
        <v>1389</v>
      </c>
      <c r="D414" s="5" t="s">
        <v>15</v>
      </c>
      <c r="E414" s="5" t="s">
        <v>16</v>
      </c>
      <c r="F414" s="5" t="s">
        <v>17</v>
      </c>
      <c r="G414" s="5" t="s">
        <v>18</v>
      </c>
      <c r="H414" s="3" t="s">
        <v>539</v>
      </c>
      <c r="I414" s="3"/>
      <c r="J414" s="3" t="s">
        <v>126</v>
      </c>
      <c r="K414" s="5" t="s">
        <v>23</v>
      </c>
      <c r="L414" s="5">
        <v>19.95</v>
      </c>
      <c r="M414" s="2" t="s">
        <v>1390</v>
      </c>
    </row>
    <row r="415" spans="1:13" x14ac:dyDescent="0.25">
      <c r="A415" s="5" t="str">
        <f>"6281051005730"</f>
        <v>6281051005730</v>
      </c>
      <c r="B415" s="2" t="s">
        <v>1391</v>
      </c>
      <c r="C415" s="2" t="s">
        <v>1392</v>
      </c>
      <c r="D415" s="5" t="s">
        <v>15</v>
      </c>
      <c r="E415" s="5" t="s">
        <v>16</v>
      </c>
      <c r="F415" s="5" t="s">
        <v>17</v>
      </c>
      <c r="G415" s="5" t="s">
        <v>18</v>
      </c>
      <c r="H415" s="3" t="s">
        <v>83</v>
      </c>
      <c r="I415" s="3"/>
      <c r="J415" s="3"/>
      <c r="K415" s="5" t="s">
        <v>23</v>
      </c>
      <c r="L415" s="5">
        <v>5.75</v>
      </c>
      <c r="M415" s="2" t="s">
        <v>1393</v>
      </c>
    </row>
    <row r="416" spans="1:13" x14ac:dyDescent="0.25">
      <c r="A416" s="5" t="str">
        <f>"6281057013258"</f>
        <v>6281057013258</v>
      </c>
      <c r="B416" s="2" t="s">
        <v>1394</v>
      </c>
      <c r="C416" s="2" t="s">
        <v>1395</v>
      </c>
      <c r="D416" s="5" t="s">
        <v>15</v>
      </c>
      <c r="E416" s="5" t="s">
        <v>16</v>
      </c>
      <c r="F416" s="5" t="s">
        <v>17</v>
      </c>
      <c r="G416" s="5" t="s">
        <v>18</v>
      </c>
      <c r="H416" s="3" t="s">
        <v>44</v>
      </c>
      <c r="I416" s="3"/>
      <c r="J416" s="3" t="s">
        <v>1051</v>
      </c>
      <c r="K416" s="5" t="s">
        <v>23</v>
      </c>
      <c r="L416" s="5">
        <v>24.95</v>
      </c>
      <c r="M416" s="2" t="s">
        <v>1396</v>
      </c>
    </row>
    <row r="417" spans="1:13" x14ac:dyDescent="0.25">
      <c r="A417" s="5" t="str">
        <f>"8710912640547"</f>
        <v>8710912640547</v>
      </c>
      <c r="B417" s="2" t="s">
        <v>1397</v>
      </c>
      <c r="C417" s="2" t="s">
        <v>1398</v>
      </c>
      <c r="D417" s="5" t="s">
        <v>15</v>
      </c>
      <c r="E417" s="5" t="s">
        <v>16</v>
      </c>
      <c r="F417" s="5" t="s">
        <v>17</v>
      </c>
      <c r="G417" s="5" t="s">
        <v>18</v>
      </c>
      <c r="H417" s="3" t="s">
        <v>819</v>
      </c>
      <c r="I417" s="3" t="s">
        <v>345</v>
      </c>
      <c r="J417" s="3" t="s">
        <v>371</v>
      </c>
      <c r="K417" s="5" t="s">
        <v>23</v>
      </c>
      <c r="L417" s="5">
        <v>16.25</v>
      </c>
      <c r="M417" s="2" t="s">
        <v>1399</v>
      </c>
    </row>
    <row r="418" spans="1:13" x14ac:dyDescent="0.25">
      <c r="A418" s="5" t="str">
        <f>"2149802000004"</f>
        <v>2149802000004</v>
      </c>
      <c r="B418" s="2" t="s">
        <v>1400</v>
      </c>
      <c r="C418" s="2" t="s">
        <v>1401</v>
      </c>
      <c r="D418" s="5" t="s">
        <v>15</v>
      </c>
      <c r="E418" s="5" t="s">
        <v>16</v>
      </c>
      <c r="F418" s="5" t="s">
        <v>17</v>
      </c>
      <c r="G418" s="5" t="s">
        <v>18</v>
      </c>
      <c r="H418" s="3"/>
      <c r="I418" s="3"/>
      <c r="J418" s="3"/>
      <c r="K418" s="5" t="s">
        <v>19</v>
      </c>
      <c r="L418" s="5">
        <v>46.95</v>
      </c>
      <c r="M418" s="2" t="s">
        <v>1402</v>
      </c>
    </row>
    <row r="419" spans="1:13" x14ac:dyDescent="0.25">
      <c r="A419" s="5" t="str">
        <f>"6281057007400"</f>
        <v>6281057007400</v>
      </c>
      <c r="B419" s="2" t="s">
        <v>1403</v>
      </c>
      <c r="C419" s="2" t="s">
        <v>1404</v>
      </c>
      <c r="D419" s="5" t="s">
        <v>15</v>
      </c>
      <c r="E419" s="5" t="s">
        <v>16</v>
      </c>
      <c r="F419" s="5" t="s">
        <v>17</v>
      </c>
      <c r="G419" s="5" t="s">
        <v>18</v>
      </c>
      <c r="H419" s="3" t="s">
        <v>44</v>
      </c>
      <c r="I419" s="3"/>
      <c r="J419" s="3" t="s">
        <v>1405</v>
      </c>
      <c r="K419" s="5" t="s">
        <v>23</v>
      </c>
      <c r="L419" s="5">
        <v>17</v>
      </c>
      <c r="M419" s="2" t="s">
        <v>1406</v>
      </c>
    </row>
    <row r="420" spans="1:13" x14ac:dyDescent="0.25">
      <c r="A420" s="5" t="str">
        <f>"5760466878661"</f>
        <v>5760466878661</v>
      </c>
      <c r="B420" s="2" t="s">
        <v>1407</v>
      </c>
      <c r="C420" s="2" t="s">
        <v>1408</v>
      </c>
      <c r="D420" s="5" t="s">
        <v>15</v>
      </c>
      <c r="E420" s="5" t="s">
        <v>16</v>
      </c>
      <c r="F420" s="5" t="s">
        <v>17</v>
      </c>
      <c r="G420" s="5" t="s">
        <v>18</v>
      </c>
      <c r="H420" s="3" t="s">
        <v>27</v>
      </c>
      <c r="I420" s="3" t="s">
        <v>153</v>
      </c>
      <c r="J420" s="3" t="s">
        <v>1409</v>
      </c>
      <c r="K420" s="5" t="s">
        <v>23</v>
      </c>
      <c r="L420" s="5">
        <v>12</v>
      </c>
      <c r="M420" s="2" t="s">
        <v>1410</v>
      </c>
    </row>
    <row r="421" spans="1:13" x14ac:dyDescent="0.25">
      <c r="A421" s="5" t="str">
        <f>"6281100502418"</f>
        <v>6281100502418</v>
      </c>
      <c r="B421" s="2" t="s">
        <v>1411</v>
      </c>
      <c r="C421" s="2" t="s">
        <v>1412</v>
      </c>
      <c r="D421" s="5" t="s">
        <v>15</v>
      </c>
      <c r="E421" s="5" t="s">
        <v>16</v>
      </c>
      <c r="F421" s="5" t="s">
        <v>17</v>
      </c>
      <c r="G421" s="5" t="s">
        <v>18</v>
      </c>
      <c r="H421" s="3" t="s">
        <v>466</v>
      </c>
      <c r="I421" s="3"/>
      <c r="J421" s="3"/>
      <c r="K421" s="5" t="s">
        <v>23</v>
      </c>
      <c r="L421" s="5">
        <v>60</v>
      </c>
      <c r="M421" s="2" t="s">
        <v>1413</v>
      </c>
    </row>
    <row r="422" spans="1:13" x14ac:dyDescent="0.25">
      <c r="A422" s="5" t="str">
        <f>"6281018250180"</f>
        <v>6281018250180</v>
      </c>
      <c r="B422" s="2" t="s">
        <v>1414</v>
      </c>
      <c r="C422" s="2" t="s">
        <v>1415</v>
      </c>
      <c r="D422" s="5" t="s">
        <v>15</v>
      </c>
      <c r="E422" s="5" t="s">
        <v>16</v>
      </c>
      <c r="F422" s="5" t="s">
        <v>17</v>
      </c>
      <c r="G422" s="5" t="s">
        <v>18</v>
      </c>
      <c r="H422" s="3" t="s">
        <v>67</v>
      </c>
      <c r="I422" s="3"/>
      <c r="J422" s="3"/>
      <c r="K422" s="5" t="s">
        <v>23</v>
      </c>
      <c r="L422" s="5">
        <v>7</v>
      </c>
      <c r="M422" s="2" t="s">
        <v>1416</v>
      </c>
    </row>
    <row r="423" spans="1:13" x14ac:dyDescent="0.25">
      <c r="A423" s="5" t="str">
        <f>"6281048109458"</f>
        <v>6281048109458</v>
      </c>
      <c r="B423" s="2" t="s">
        <v>1417</v>
      </c>
      <c r="C423" s="2" t="s">
        <v>1418</v>
      </c>
      <c r="D423" s="5" t="s">
        <v>15</v>
      </c>
      <c r="E423" s="5" t="s">
        <v>16</v>
      </c>
      <c r="F423" s="5" t="s">
        <v>17</v>
      </c>
      <c r="G423" s="5" t="s">
        <v>18</v>
      </c>
      <c r="H423" s="3" t="s">
        <v>27</v>
      </c>
      <c r="I423" s="3"/>
      <c r="J423" s="3" t="s">
        <v>354</v>
      </c>
      <c r="K423" s="5" t="s">
        <v>23</v>
      </c>
      <c r="L423" s="5">
        <v>15.75</v>
      </c>
      <c r="M423" s="2" t="s">
        <v>1419</v>
      </c>
    </row>
    <row r="424" spans="1:13" x14ac:dyDescent="0.25">
      <c r="A424" s="5" t="str">
        <f>"2143301000008"</f>
        <v>2143301000008</v>
      </c>
      <c r="B424" s="2" t="s">
        <v>1420</v>
      </c>
      <c r="C424" s="2" t="s">
        <v>1421</v>
      </c>
      <c r="D424" s="5" t="s">
        <v>15</v>
      </c>
      <c r="E424" s="5" t="s">
        <v>16</v>
      </c>
      <c r="F424" s="5" t="s">
        <v>17</v>
      </c>
      <c r="G424" s="5" t="s">
        <v>18</v>
      </c>
      <c r="H424" s="3"/>
      <c r="I424" s="3"/>
      <c r="J424" s="3"/>
      <c r="K424" s="5" t="s">
        <v>19</v>
      </c>
      <c r="L424" s="5">
        <v>53.95</v>
      </c>
      <c r="M424" s="2" t="s">
        <v>1422</v>
      </c>
    </row>
    <row r="425" spans="1:13" x14ac:dyDescent="0.25">
      <c r="A425" s="5" t="str">
        <f>"2140945000005"</f>
        <v>2140945000005</v>
      </c>
      <c r="B425" s="2" t="s">
        <v>1423</v>
      </c>
      <c r="C425" s="2" t="s">
        <v>1424</v>
      </c>
      <c r="D425" s="5" t="s">
        <v>15</v>
      </c>
      <c r="E425" s="5" t="s">
        <v>16</v>
      </c>
      <c r="F425" s="5" t="s">
        <v>17</v>
      </c>
      <c r="G425" s="5" t="s">
        <v>18</v>
      </c>
      <c r="H425" s="3"/>
      <c r="I425" s="3"/>
      <c r="J425" s="3"/>
      <c r="K425" s="5" t="s">
        <v>19</v>
      </c>
      <c r="L425" s="5">
        <v>214.95</v>
      </c>
      <c r="M425" s="2" t="s">
        <v>1425</v>
      </c>
    </row>
    <row r="426" spans="1:13" x14ac:dyDescent="0.25">
      <c r="A426" s="5" t="str">
        <f>"6281022134049"</f>
        <v>6281022134049</v>
      </c>
      <c r="B426" s="2" t="s">
        <v>1426</v>
      </c>
      <c r="C426" s="2" t="s">
        <v>1427</v>
      </c>
      <c r="D426" s="5" t="s">
        <v>15</v>
      </c>
      <c r="E426" s="5" t="s">
        <v>16</v>
      </c>
      <c r="F426" s="5" t="s">
        <v>17</v>
      </c>
      <c r="G426" s="5" t="s">
        <v>18</v>
      </c>
      <c r="H426" s="3"/>
      <c r="I426" s="3"/>
      <c r="J426" s="3" t="s">
        <v>1285</v>
      </c>
      <c r="K426" s="5" t="s">
        <v>23</v>
      </c>
      <c r="L426" s="5">
        <v>7.5</v>
      </c>
      <c r="M426" s="2" t="s">
        <v>1428</v>
      </c>
    </row>
    <row r="427" spans="1:13" x14ac:dyDescent="0.25">
      <c r="A427" s="5" t="str">
        <f>"5711953135224"</f>
        <v>5711953135224</v>
      </c>
      <c r="B427" s="2" t="s">
        <v>1429</v>
      </c>
      <c r="C427" s="2" t="s">
        <v>1430</v>
      </c>
      <c r="D427" s="5" t="s">
        <v>15</v>
      </c>
      <c r="E427" s="5" t="s">
        <v>16</v>
      </c>
      <c r="F427" s="5" t="s">
        <v>17</v>
      </c>
      <c r="G427" s="5" t="s">
        <v>18</v>
      </c>
      <c r="H427" s="3" t="s">
        <v>1431</v>
      </c>
      <c r="I427" s="3"/>
      <c r="J427" s="3"/>
      <c r="K427" s="5" t="s">
        <v>23</v>
      </c>
      <c r="L427" s="5">
        <v>15.25</v>
      </c>
      <c r="M427" s="2" t="s">
        <v>1432</v>
      </c>
    </row>
    <row r="428" spans="1:13" x14ac:dyDescent="0.25">
      <c r="A428" s="5" t="str">
        <f>"6281024114674"</f>
        <v>6281024114674</v>
      </c>
      <c r="B428" s="2" t="s">
        <v>1433</v>
      </c>
      <c r="C428" s="2" t="s">
        <v>1434</v>
      </c>
      <c r="D428" s="5" t="s">
        <v>15</v>
      </c>
      <c r="E428" s="5" t="s">
        <v>16</v>
      </c>
      <c r="F428" s="5" t="s">
        <v>17</v>
      </c>
      <c r="G428" s="5" t="s">
        <v>18</v>
      </c>
      <c r="H428" s="3" t="s">
        <v>107</v>
      </c>
      <c r="I428" s="3"/>
      <c r="J428" s="3"/>
      <c r="K428" s="5" t="s">
        <v>23</v>
      </c>
      <c r="L428" s="5">
        <v>22</v>
      </c>
      <c r="M428" s="2" t="s">
        <v>1435</v>
      </c>
    </row>
    <row r="429" spans="1:13" x14ac:dyDescent="0.25">
      <c r="A429" s="5" t="str">
        <f>"4003751019235"</f>
        <v>4003751019235</v>
      </c>
      <c r="B429" s="2" t="s">
        <v>1436</v>
      </c>
      <c r="C429" s="2" t="s">
        <v>1437</v>
      </c>
      <c r="D429" s="5" t="s">
        <v>15</v>
      </c>
      <c r="E429" s="5" t="s">
        <v>16</v>
      </c>
      <c r="F429" s="5" t="s">
        <v>17</v>
      </c>
      <c r="G429" s="5" t="s">
        <v>18</v>
      </c>
      <c r="H429" s="3"/>
      <c r="I429" s="3"/>
      <c r="J429" s="3"/>
      <c r="K429" s="5" t="s">
        <v>23</v>
      </c>
      <c r="L429" s="5">
        <v>28</v>
      </c>
      <c r="M429" s="2" t="s">
        <v>1438</v>
      </c>
    </row>
    <row r="430" spans="1:13" x14ac:dyDescent="0.25">
      <c r="A430" s="5" t="str">
        <f>"5711953163906"</f>
        <v>5711953163906</v>
      </c>
      <c r="B430" s="2" t="s">
        <v>1439</v>
      </c>
      <c r="C430" s="2" t="s">
        <v>1440</v>
      </c>
      <c r="D430" s="5" t="s">
        <v>15</v>
      </c>
      <c r="E430" s="5" t="s">
        <v>16</v>
      </c>
      <c r="F430" s="5" t="s">
        <v>17</v>
      </c>
      <c r="G430" s="5" t="s">
        <v>18</v>
      </c>
      <c r="H430" s="3" t="s">
        <v>27</v>
      </c>
      <c r="I430" s="3"/>
      <c r="J430" s="3" t="s">
        <v>392</v>
      </c>
      <c r="K430" s="5" t="s">
        <v>23</v>
      </c>
      <c r="L430" s="5">
        <v>37.950000000000003</v>
      </c>
      <c r="M430" s="2" t="s">
        <v>1441</v>
      </c>
    </row>
    <row r="431" spans="1:13" x14ac:dyDescent="0.25">
      <c r="A431" s="5" t="str">
        <f>"6281100500285"</f>
        <v>6281100500285</v>
      </c>
      <c r="B431" s="2" t="s">
        <v>1442</v>
      </c>
      <c r="C431" s="2" t="s">
        <v>1443</v>
      </c>
      <c r="D431" s="5" t="s">
        <v>15</v>
      </c>
      <c r="E431" s="5" t="s">
        <v>16</v>
      </c>
      <c r="F431" s="5" t="s">
        <v>17</v>
      </c>
      <c r="G431" s="5" t="s">
        <v>18</v>
      </c>
      <c r="H431" s="3" t="s">
        <v>466</v>
      </c>
      <c r="I431" s="3"/>
      <c r="J431" s="3"/>
      <c r="K431" s="5" t="s">
        <v>23</v>
      </c>
      <c r="L431" s="5">
        <v>22</v>
      </c>
      <c r="M431" s="2" t="s">
        <v>1444</v>
      </c>
    </row>
    <row r="432" spans="1:13" x14ac:dyDescent="0.25">
      <c r="A432" s="5" t="str">
        <f>"6281007035019"</f>
        <v>6281007035019</v>
      </c>
      <c r="B432" s="2" t="s">
        <v>1445</v>
      </c>
      <c r="C432" s="2" t="s">
        <v>1446</v>
      </c>
      <c r="D432" s="5" t="s">
        <v>15</v>
      </c>
      <c r="E432" s="5" t="s">
        <v>16</v>
      </c>
      <c r="F432" s="5" t="s">
        <v>17</v>
      </c>
      <c r="G432" s="5" t="s">
        <v>18</v>
      </c>
      <c r="H432" s="3" t="s">
        <v>32</v>
      </c>
      <c r="I432" s="3" t="s">
        <v>33</v>
      </c>
      <c r="J432" s="3"/>
      <c r="K432" s="5" t="s">
        <v>23</v>
      </c>
      <c r="L432" s="5">
        <v>2.25</v>
      </c>
      <c r="M432" s="2" t="s">
        <v>1447</v>
      </c>
    </row>
    <row r="433" spans="1:13" x14ac:dyDescent="0.25">
      <c r="A433" s="5" t="str">
        <f>"6281007032322"</f>
        <v>6281007032322</v>
      </c>
      <c r="B433" s="2" t="s">
        <v>1448</v>
      </c>
      <c r="C433" s="2" t="s">
        <v>1449</v>
      </c>
      <c r="D433" s="5" t="s">
        <v>15</v>
      </c>
      <c r="E433" s="5" t="s">
        <v>16</v>
      </c>
      <c r="F433" s="5" t="s">
        <v>17</v>
      </c>
      <c r="G433" s="5" t="s">
        <v>18</v>
      </c>
      <c r="H433" s="3" t="s">
        <v>32</v>
      </c>
      <c r="I433" s="3"/>
      <c r="J433" s="3"/>
      <c r="K433" s="5" t="s">
        <v>23</v>
      </c>
      <c r="L433" s="5">
        <v>77.25</v>
      </c>
      <c r="M433" s="2" t="s">
        <v>1450</v>
      </c>
    </row>
    <row r="434" spans="1:13" x14ac:dyDescent="0.25">
      <c r="A434" s="5" t="str">
        <f>"6281022140316"</f>
        <v>6281022140316</v>
      </c>
      <c r="B434" s="2" t="s">
        <v>1451</v>
      </c>
      <c r="C434" s="2" t="s">
        <v>1452</v>
      </c>
      <c r="D434" s="5" t="s">
        <v>15</v>
      </c>
      <c r="E434" s="5" t="s">
        <v>16</v>
      </c>
      <c r="F434" s="5" t="s">
        <v>17</v>
      </c>
      <c r="G434" s="5" t="s">
        <v>18</v>
      </c>
      <c r="H434" s="3"/>
      <c r="I434" s="3"/>
      <c r="J434" s="3"/>
      <c r="K434" s="5" t="s">
        <v>23</v>
      </c>
      <c r="L434" s="5">
        <v>76.25</v>
      </c>
      <c r="M434" s="2" t="s">
        <v>1453</v>
      </c>
    </row>
    <row r="435" spans="1:13" x14ac:dyDescent="0.25">
      <c r="A435" s="5" t="str">
        <f>"6281024010907"</f>
        <v>6281024010907</v>
      </c>
      <c r="B435" s="2" t="s">
        <v>1454</v>
      </c>
      <c r="C435" s="2" t="s">
        <v>1455</v>
      </c>
      <c r="D435" s="5" t="s">
        <v>15</v>
      </c>
      <c r="E435" s="5" t="s">
        <v>16</v>
      </c>
      <c r="F435" s="5" t="s">
        <v>17</v>
      </c>
      <c r="G435" s="5" t="s">
        <v>18</v>
      </c>
      <c r="H435" s="3" t="s">
        <v>979</v>
      </c>
      <c r="I435" s="3" t="s">
        <v>33</v>
      </c>
      <c r="J435" s="3" t="s">
        <v>28</v>
      </c>
      <c r="K435" s="5" t="s">
        <v>23</v>
      </c>
      <c r="L435" s="5">
        <v>9.25</v>
      </c>
      <c r="M435" s="2" t="s">
        <v>1456</v>
      </c>
    </row>
    <row r="436" spans="1:13" x14ac:dyDescent="0.25">
      <c r="A436" s="5" t="str">
        <f>"5703985072585"</f>
        <v>5703985072585</v>
      </c>
      <c r="B436" s="2" t="s">
        <v>1457</v>
      </c>
      <c r="C436" s="2" t="s">
        <v>1458</v>
      </c>
      <c r="D436" s="5" t="s">
        <v>15</v>
      </c>
      <c r="E436" s="5" t="s">
        <v>16</v>
      </c>
      <c r="F436" s="5" t="s">
        <v>17</v>
      </c>
      <c r="G436" s="5" t="s">
        <v>18</v>
      </c>
      <c r="H436" s="3" t="s">
        <v>1459</v>
      </c>
      <c r="I436" s="3"/>
      <c r="J436" s="3"/>
      <c r="K436" s="5" t="s">
        <v>23</v>
      </c>
      <c r="L436" s="5">
        <v>13</v>
      </c>
      <c r="M436" s="2" t="s">
        <v>1460</v>
      </c>
    </row>
    <row r="437" spans="1:13" x14ac:dyDescent="0.25">
      <c r="A437" s="5" t="str">
        <f>"6271002103028"</f>
        <v>6271002103028</v>
      </c>
      <c r="B437" s="2" t="s">
        <v>1461</v>
      </c>
      <c r="C437" s="2" t="s">
        <v>1462</v>
      </c>
      <c r="D437" s="5" t="s">
        <v>15</v>
      </c>
      <c r="E437" s="5" t="s">
        <v>16</v>
      </c>
      <c r="F437" s="5" t="s">
        <v>17</v>
      </c>
      <c r="G437" s="5" t="s">
        <v>18</v>
      </c>
      <c r="H437" s="3" t="s">
        <v>100</v>
      </c>
      <c r="I437" s="3"/>
      <c r="J437" s="3"/>
      <c r="K437" s="5" t="s">
        <v>23</v>
      </c>
      <c r="L437" s="5">
        <v>72.5</v>
      </c>
      <c r="M437" s="2" t="s">
        <v>1463</v>
      </c>
    </row>
    <row r="438" spans="1:13" x14ac:dyDescent="0.25">
      <c r="A438" s="5" t="str">
        <f>"6281007041195"</f>
        <v>6281007041195</v>
      </c>
      <c r="B438" s="2" t="s">
        <v>1464</v>
      </c>
      <c r="C438" s="2" t="s">
        <v>1465</v>
      </c>
      <c r="D438" s="5" t="s">
        <v>15</v>
      </c>
      <c r="E438" s="5" t="s">
        <v>16</v>
      </c>
      <c r="F438" s="5" t="s">
        <v>17</v>
      </c>
      <c r="G438" s="5" t="s">
        <v>18</v>
      </c>
      <c r="H438" s="3" t="s">
        <v>32</v>
      </c>
      <c r="I438" s="3"/>
      <c r="J438" s="3"/>
      <c r="K438" s="5" t="s">
        <v>23</v>
      </c>
      <c r="L438" s="5">
        <v>2</v>
      </c>
      <c r="M438" s="2" t="s">
        <v>1466</v>
      </c>
    </row>
    <row r="439" spans="1:13" x14ac:dyDescent="0.25">
      <c r="A439" s="5" t="str">
        <f>"6281024010709"</f>
        <v>6281024010709</v>
      </c>
      <c r="B439" s="2" t="s">
        <v>1467</v>
      </c>
      <c r="C439" s="2" t="s">
        <v>1468</v>
      </c>
      <c r="D439" s="5" t="s">
        <v>15</v>
      </c>
      <c r="E439" s="5" t="s">
        <v>16</v>
      </c>
      <c r="F439" s="5" t="s">
        <v>17</v>
      </c>
      <c r="G439" s="5" t="s">
        <v>18</v>
      </c>
      <c r="H439" s="3" t="s">
        <v>979</v>
      </c>
      <c r="I439" s="3" t="s">
        <v>33</v>
      </c>
      <c r="J439" s="3"/>
      <c r="K439" s="5" t="s">
        <v>23</v>
      </c>
      <c r="L439" s="5">
        <v>9.5</v>
      </c>
      <c r="M439" s="2" t="s">
        <v>1469</v>
      </c>
    </row>
    <row r="440" spans="1:13" x14ac:dyDescent="0.25">
      <c r="A440" s="5" t="str">
        <f>"6287007762351"</f>
        <v>6287007762351</v>
      </c>
      <c r="B440" s="2" t="s">
        <v>1470</v>
      </c>
      <c r="C440" s="2" t="s">
        <v>1471</v>
      </c>
      <c r="D440" s="5" t="s">
        <v>15</v>
      </c>
      <c r="E440" s="5" t="s">
        <v>16</v>
      </c>
      <c r="F440" s="5" t="s">
        <v>17</v>
      </c>
      <c r="G440" s="5" t="s">
        <v>18</v>
      </c>
      <c r="H440" s="3" t="s">
        <v>1472</v>
      </c>
      <c r="I440" s="3"/>
      <c r="J440" s="3" t="s">
        <v>72</v>
      </c>
      <c r="K440" s="5" t="s">
        <v>23</v>
      </c>
      <c r="L440" s="5">
        <v>30.95</v>
      </c>
      <c r="M440" s="2" t="s">
        <v>1473</v>
      </c>
    </row>
    <row r="441" spans="1:13" x14ac:dyDescent="0.25">
      <c r="A441" s="5" t="str">
        <f>"6281007023887"</f>
        <v>6281007023887</v>
      </c>
      <c r="B441" s="2" t="s">
        <v>1474</v>
      </c>
      <c r="C441" s="2" t="s">
        <v>1475</v>
      </c>
      <c r="D441" s="5" t="s">
        <v>15</v>
      </c>
      <c r="E441" s="5" t="s">
        <v>16</v>
      </c>
      <c r="F441" s="5" t="s">
        <v>17</v>
      </c>
      <c r="G441" s="5" t="s">
        <v>18</v>
      </c>
      <c r="H441" s="3" t="s">
        <v>32</v>
      </c>
      <c r="I441" s="3" t="s">
        <v>33</v>
      </c>
      <c r="J441" s="3" t="s">
        <v>72</v>
      </c>
      <c r="K441" s="5" t="s">
        <v>23</v>
      </c>
      <c r="L441" s="5">
        <v>1.5</v>
      </c>
      <c r="M441" s="2" t="s">
        <v>1476</v>
      </c>
    </row>
    <row r="442" spans="1:13" x14ac:dyDescent="0.25">
      <c r="A442" s="5" t="str">
        <f>"3073780574310"</f>
        <v>3073780574310</v>
      </c>
      <c r="B442" s="2" t="s">
        <v>1477</v>
      </c>
      <c r="C442" s="2" t="s">
        <v>1478</v>
      </c>
      <c r="D442" s="5" t="s">
        <v>15</v>
      </c>
      <c r="E442" s="5" t="s">
        <v>16</v>
      </c>
      <c r="F442" s="5" t="s">
        <v>17</v>
      </c>
      <c r="G442" s="5" t="s">
        <v>18</v>
      </c>
      <c r="H442" s="3" t="s">
        <v>425</v>
      </c>
      <c r="I442" s="3" t="s">
        <v>426</v>
      </c>
      <c r="J442" s="3" t="s">
        <v>1479</v>
      </c>
      <c r="K442" s="5" t="s">
        <v>23</v>
      </c>
      <c r="L442" s="5">
        <v>15.95</v>
      </c>
      <c r="M442" s="2" t="s">
        <v>1480</v>
      </c>
    </row>
    <row r="443" spans="1:13" x14ac:dyDescent="0.25">
      <c r="A443" s="5" t="str">
        <f>"6281057070008"</f>
        <v>6281057070008</v>
      </c>
      <c r="B443" s="2" t="s">
        <v>1481</v>
      </c>
      <c r="C443" s="2" t="s">
        <v>1482</v>
      </c>
      <c r="D443" s="5" t="s">
        <v>15</v>
      </c>
      <c r="E443" s="5" t="s">
        <v>16</v>
      </c>
      <c r="F443" s="5" t="s">
        <v>17</v>
      </c>
      <c r="G443" s="5" t="s">
        <v>18</v>
      </c>
      <c r="H443" s="3" t="s">
        <v>44</v>
      </c>
      <c r="I443" s="3"/>
      <c r="J443" s="3"/>
      <c r="K443" s="5" t="s">
        <v>23</v>
      </c>
      <c r="L443" s="5">
        <v>4</v>
      </c>
      <c r="M443" s="2" t="s">
        <v>1483</v>
      </c>
    </row>
    <row r="444" spans="1:13" x14ac:dyDescent="0.25">
      <c r="A444" s="5" t="str">
        <f>"6281022102901"</f>
        <v>6281022102901</v>
      </c>
      <c r="B444" s="2" t="s">
        <v>1484</v>
      </c>
      <c r="C444" s="2" t="s">
        <v>1485</v>
      </c>
      <c r="D444" s="5" t="s">
        <v>15</v>
      </c>
      <c r="E444" s="5" t="s">
        <v>16</v>
      </c>
      <c r="F444" s="5" t="s">
        <v>17</v>
      </c>
      <c r="G444" s="5" t="s">
        <v>18</v>
      </c>
      <c r="H444" s="3"/>
      <c r="I444" s="3"/>
      <c r="J444" s="3"/>
      <c r="K444" s="5" t="s">
        <v>23</v>
      </c>
      <c r="L444" s="5">
        <v>2</v>
      </c>
      <c r="M444" s="2" t="s">
        <v>1486</v>
      </c>
    </row>
    <row r="445" spans="1:13" x14ac:dyDescent="0.25">
      <c r="A445" s="5" t="str">
        <f>"3228023980186"</f>
        <v>3228023980186</v>
      </c>
      <c r="B445" s="2" t="s">
        <v>1487</v>
      </c>
      <c r="C445" s="2" t="s">
        <v>1488</v>
      </c>
      <c r="D445" s="5" t="s">
        <v>15</v>
      </c>
      <c r="E445" s="5" t="s">
        <v>16</v>
      </c>
      <c r="F445" s="5" t="s">
        <v>17</v>
      </c>
      <c r="G445" s="5" t="s">
        <v>18</v>
      </c>
      <c r="H445" s="3" t="s">
        <v>107</v>
      </c>
      <c r="I445" s="3" t="s">
        <v>141</v>
      </c>
      <c r="J445" s="3" t="s">
        <v>675</v>
      </c>
      <c r="K445" s="5" t="s">
        <v>23</v>
      </c>
      <c r="L445" s="5">
        <v>4.75</v>
      </c>
      <c r="M445" s="2" t="s">
        <v>1489</v>
      </c>
    </row>
    <row r="446" spans="1:13" x14ac:dyDescent="0.25">
      <c r="A446" s="5" t="str">
        <f>"6281026121465"</f>
        <v>6281026121465</v>
      </c>
      <c r="B446" s="2" t="s">
        <v>1490</v>
      </c>
      <c r="C446" s="2" t="s">
        <v>1491</v>
      </c>
      <c r="D446" s="5" t="s">
        <v>15</v>
      </c>
      <c r="E446" s="5" t="s">
        <v>16</v>
      </c>
      <c r="F446" s="5" t="s">
        <v>17</v>
      </c>
      <c r="G446" s="5" t="s">
        <v>18</v>
      </c>
      <c r="H446" s="3" t="s">
        <v>1041</v>
      </c>
      <c r="I446" s="3" t="s">
        <v>33</v>
      </c>
      <c r="J446" s="3"/>
      <c r="K446" s="5" t="s">
        <v>23</v>
      </c>
      <c r="L446" s="5">
        <v>23.25</v>
      </c>
      <c r="M446" s="2" t="s">
        <v>1492</v>
      </c>
    </row>
    <row r="447" spans="1:13" x14ac:dyDescent="0.25">
      <c r="A447" s="5" t="str">
        <f>"6281007023979"</f>
        <v>6281007023979</v>
      </c>
      <c r="B447" s="2" t="s">
        <v>1493</v>
      </c>
      <c r="C447" s="2" t="s">
        <v>1494</v>
      </c>
      <c r="D447" s="5" t="s">
        <v>15</v>
      </c>
      <c r="E447" s="5" t="s">
        <v>16</v>
      </c>
      <c r="F447" s="5" t="s">
        <v>17</v>
      </c>
      <c r="G447" s="5" t="s">
        <v>18</v>
      </c>
      <c r="H447" s="3" t="s">
        <v>32</v>
      </c>
      <c r="I447" s="3"/>
      <c r="J447" s="3"/>
      <c r="K447" s="5" t="s">
        <v>23</v>
      </c>
      <c r="L447" s="5">
        <v>27.75</v>
      </c>
      <c r="M447" s="2" t="s">
        <v>1495</v>
      </c>
    </row>
    <row r="448" spans="1:13" x14ac:dyDescent="0.25">
      <c r="A448" s="5" t="str">
        <f>"6281039120912"</f>
        <v>6281039120912</v>
      </c>
      <c r="B448" s="2" t="s">
        <v>1496</v>
      </c>
      <c r="C448" s="2" t="s">
        <v>1497</v>
      </c>
      <c r="D448" s="5" t="s">
        <v>15</v>
      </c>
      <c r="E448" s="5" t="s">
        <v>16</v>
      </c>
      <c r="F448" s="5" t="s">
        <v>17</v>
      </c>
      <c r="G448" s="5" t="s">
        <v>18</v>
      </c>
      <c r="H448" s="3" t="s">
        <v>146</v>
      </c>
      <c r="I448" s="3"/>
      <c r="J448" s="3"/>
      <c r="K448" s="5" t="s">
        <v>23</v>
      </c>
      <c r="L448" s="5">
        <v>12.25</v>
      </c>
      <c r="M448" s="2" t="s">
        <v>1498</v>
      </c>
    </row>
    <row r="449" spans="1:13" x14ac:dyDescent="0.25">
      <c r="A449" s="5" t="str">
        <f>"2143181000006"</f>
        <v>2143181000006</v>
      </c>
      <c r="B449" s="2" t="s">
        <v>1499</v>
      </c>
      <c r="C449" s="2" t="s">
        <v>1500</v>
      </c>
      <c r="D449" s="5" t="s">
        <v>15</v>
      </c>
      <c r="E449" s="5" t="s">
        <v>16</v>
      </c>
      <c r="F449" s="5" t="s">
        <v>17</v>
      </c>
      <c r="G449" s="5" t="s">
        <v>18</v>
      </c>
      <c r="H449" s="3"/>
      <c r="I449" s="3"/>
      <c r="J449" s="3"/>
      <c r="K449" s="5" t="s">
        <v>19</v>
      </c>
      <c r="L449" s="5">
        <v>71.95</v>
      </c>
      <c r="M449" s="2" t="s">
        <v>1501</v>
      </c>
    </row>
    <row r="450" spans="1:13" x14ac:dyDescent="0.25">
      <c r="A450" s="5" t="str">
        <f>"6281057002122"</f>
        <v>6281057002122</v>
      </c>
      <c r="B450" s="2" t="s">
        <v>1502</v>
      </c>
      <c r="C450" s="2" t="s">
        <v>1503</v>
      </c>
      <c r="D450" s="5" t="s">
        <v>15</v>
      </c>
      <c r="E450" s="5" t="s">
        <v>16</v>
      </c>
      <c r="F450" s="5" t="s">
        <v>17</v>
      </c>
      <c r="G450" s="5" t="s">
        <v>18</v>
      </c>
      <c r="H450" s="3" t="s">
        <v>44</v>
      </c>
      <c r="I450" s="3"/>
      <c r="J450" s="3" t="s">
        <v>510</v>
      </c>
      <c r="K450" s="5" t="s">
        <v>23</v>
      </c>
      <c r="L450" s="5">
        <v>28</v>
      </c>
      <c r="M450" s="2" t="s">
        <v>1504</v>
      </c>
    </row>
    <row r="451" spans="1:13" x14ac:dyDescent="0.25">
      <c r="A451" s="5" t="str">
        <f>"6297000778679"</f>
        <v>6297000778679</v>
      </c>
      <c r="B451" s="2" t="s">
        <v>1505</v>
      </c>
      <c r="C451" s="2" t="s">
        <v>1506</v>
      </c>
      <c r="D451" s="5" t="s">
        <v>15</v>
      </c>
      <c r="E451" s="5" t="s">
        <v>16</v>
      </c>
      <c r="F451" s="5" t="s">
        <v>17</v>
      </c>
      <c r="G451" s="5" t="s">
        <v>18</v>
      </c>
      <c r="H451" s="3" t="s">
        <v>539</v>
      </c>
      <c r="I451" s="3"/>
      <c r="J451" s="3" t="s">
        <v>375</v>
      </c>
      <c r="K451" s="5" t="s">
        <v>23</v>
      </c>
      <c r="L451" s="5">
        <v>20.5</v>
      </c>
      <c r="M451" s="2" t="s">
        <v>1507</v>
      </c>
    </row>
    <row r="452" spans="1:13" x14ac:dyDescent="0.25">
      <c r="A452" s="5" t="str">
        <f>"5711953169922"</f>
        <v>5711953169922</v>
      </c>
      <c r="B452" s="2" t="s">
        <v>1508</v>
      </c>
      <c r="C452" s="2" t="s">
        <v>1509</v>
      </c>
      <c r="D452" s="5" t="s">
        <v>15</v>
      </c>
      <c r="E452" s="5" t="s">
        <v>16</v>
      </c>
      <c r="F452" s="5" t="s">
        <v>17</v>
      </c>
      <c r="G452" s="5" t="s">
        <v>18</v>
      </c>
      <c r="H452" s="3" t="s">
        <v>27</v>
      </c>
      <c r="I452" s="3" t="s">
        <v>33</v>
      </c>
      <c r="J452" s="3" t="s">
        <v>109</v>
      </c>
      <c r="K452" s="5" t="s">
        <v>23</v>
      </c>
      <c r="L452" s="5">
        <v>32</v>
      </c>
      <c r="M452" s="2" t="s">
        <v>1510</v>
      </c>
    </row>
    <row r="453" spans="1:13" x14ac:dyDescent="0.25">
      <c r="A453" s="5" t="str">
        <f>"6281057007066"</f>
        <v>6281057007066</v>
      </c>
      <c r="B453" s="2" t="s">
        <v>1511</v>
      </c>
      <c r="C453" s="2" t="s">
        <v>1512</v>
      </c>
      <c r="D453" s="5" t="s">
        <v>15</v>
      </c>
      <c r="E453" s="5" t="s">
        <v>16</v>
      </c>
      <c r="F453" s="5" t="s">
        <v>17</v>
      </c>
      <c r="G453" s="5" t="s">
        <v>18</v>
      </c>
      <c r="H453" s="3" t="s">
        <v>44</v>
      </c>
      <c r="I453" s="3"/>
      <c r="J453" s="3"/>
      <c r="K453" s="5" t="s">
        <v>23</v>
      </c>
      <c r="L453" s="5">
        <v>24</v>
      </c>
      <c r="M453" s="2" t="s">
        <v>1513</v>
      </c>
    </row>
    <row r="454" spans="1:13" x14ac:dyDescent="0.25">
      <c r="A454" s="5" t="str">
        <f>"6281007043359"</f>
        <v>6281007043359</v>
      </c>
      <c r="B454" s="2" t="s">
        <v>1514</v>
      </c>
      <c r="C454" s="2" t="s">
        <v>1515</v>
      </c>
      <c r="D454" s="5" t="s">
        <v>15</v>
      </c>
      <c r="E454" s="5" t="s">
        <v>16</v>
      </c>
      <c r="F454" s="5" t="s">
        <v>17</v>
      </c>
      <c r="G454" s="5" t="s">
        <v>18</v>
      </c>
      <c r="H454" s="3" t="s">
        <v>32</v>
      </c>
      <c r="I454" s="3"/>
      <c r="J454" s="3"/>
      <c r="K454" s="5" t="s">
        <v>23</v>
      </c>
      <c r="L454" s="5">
        <v>9.75</v>
      </c>
      <c r="M454" s="2" t="s">
        <v>1516</v>
      </c>
    </row>
    <row r="455" spans="1:13" x14ac:dyDescent="0.25">
      <c r="A455" s="5" t="str">
        <f>"6281026300082"</f>
        <v>6281026300082</v>
      </c>
      <c r="B455" s="2" t="s">
        <v>1517</v>
      </c>
      <c r="C455" s="2" t="s">
        <v>1518</v>
      </c>
      <c r="D455" s="5" t="s">
        <v>15</v>
      </c>
      <c r="E455" s="5" t="s">
        <v>16</v>
      </c>
      <c r="F455" s="5" t="s">
        <v>17</v>
      </c>
      <c r="G455" s="5" t="s">
        <v>18</v>
      </c>
      <c r="H455" s="3" t="s">
        <v>1041</v>
      </c>
      <c r="I455" s="3"/>
      <c r="J455" s="3"/>
      <c r="K455" s="5" t="s">
        <v>23</v>
      </c>
      <c r="L455" s="5">
        <v>47.75</v>
      </c>
      <c r="M455" s="2" t="s">
        <v>1519</v>
      </c>
    </row>
    <row r="456" spans="1:13" x14ac:dyDescent="0.25">
      <c r="A456" s="5" t="str">
        <f>"6281007046046"</f>
        <v>6281007046046</v>
      </c>
      <c r="B456" s="2" t="s">
        <v>1520</v>
      </c>
      <c r="C456" s="2" t="s">
        <v>1521</v>
      </c>
      <c r="D456" s="5" t="s">
        <v>15</v>
      </c>
      <c r="E456" s="5" t="s">
        <v>16</v>
      </c>
      <c r="F456" s="5" t="s">
        <v>17</v>
      </c>
      <c r="G456" s="5" t="s">
        <v>18</v>
      </c>
      <c r="H456" s="3" t="s">
        <v>32</v>
      </c>
      <c r="I456" s="3" t="s">
        <v>33</v>
      </c>
      <c r="J456" s="3" t="s">
        <v>1522</v>
      </c>
      <c r="K456" s="5" t="s">
        <v>23</v>
      </c>
      <c r="L456" s="5">
        <v>1.5</v>
      </c>
      <c r="M456" s="2" t="s">
        <v>1523</v>
      </c>
    </row>
    <row r="457" spans="1:13" x14ac:dyDescent="0.25">
      <c r="A457" s="5" t="str">
        <f>"2140296000006"</f>
        <v>2140296000006</v>
      </c>
      <c r="B457" s="2" t="s">
        <v>1524</v>
      </c>
      <c r="C457" s="2" t="s">
        <v>1525</v>
      </c>
      <c r="D457" s="5" t="s">
        <v>15</v>
      </c>
      <c r="E457" s="5" t="s">
        <v>16</v>
      </c>
      <c r="F457" s="5" t="s">
        <v>17</v>
      </c>
      <c r="G457" s="5" t="s">
        <v>18</v>
      </c>
      <c r="H457" s="3"/>
      <c r="I457" s="3"/>
      <c r="J457" s="3"/>
      <c r="K457" s="5" t="s">
        <v>19</v>
      </c>
      <c r="L457" s="5">
        <v>42.95</v>
      </c>
      <c r="M457" s="2" t="s">
        <v>1526</v>
      </c>
    </row>
    <row r="458" spans="1:13" x14ac:dyDescent="0.25">
      <c r="A458" s="5" t="str">
        <f>"6281100500575"</f>
        <v>6281100500575</v>
      </c>
      <c r="B458" s="2" t="s">
        <v>1527</v>
      </c>
      <c r="C458" s="2" t="s">
        <v>1528</v>
      </c>
      <c r="D458" s="5" t="s">
        <v>15</v>
      </c>
      <c r="E458" s="5" t="s">
        <v>16</v>
      </c>
      <c r="F458" s="5" t="s">
        <v>17</v>
      </c>
      <c r="G458" s="5" t="s">
        <v>18</v>
      </c>
      <c r="H458" s="3" t="s">
        <v>466</v>
      </c>
      <c r="I458" s="3"/>
      <c r="J458" s="3"/>
      <c r="K458" s="5" t="s">
        <v>23</v>
      </c>
      <c r="L458" s="5">
        <v>13</v>
      </c>
      <c r="M458" s="2" t="s">
        <v>1529</v>
      </c>
    </row>
    <row r="459" spans="1:13" x14ac:dyDescent="0.25">
      <c r="A459" s="5" t="str">
        <f>"6281057011667"</f>
        <v>6281057011667</v>
      </c>
      <c r="B459" s="2" t="s">
        <v>1530</v>
      </c>
      <c r="C459" s="2" t="s">
        <v>1531</v>
      </c>
      <c r="D459" s="5" t="s">
        <v>15</v>
      </c>
      <c r="E459" s="5" t="s">
        <v>16</v>
      </c>
      <c r="F459" s="5" t="s">
        <v>17</v>
      </c>
      <c r="G459" s="5" t="s">
        <v>18</v>
      </c>
      <c r="H459" s="3" t="s">
        <v>44</v>
      </c>
      <c r="I459" s="3"/>
      <c r="J459" s="3" t="s">
        <v>60</v>
      </c>
      <c r="K459" s="5" t="s">
        <v>23</v>
      </c>
      <c r="L459" s="5">
        <v>2</v>
      </c>
      <c r="M459" s="2" t="s">
        <v>1532</v>
      </c>
    </row>
    <row r="460" spans="1:13" x14ac:dyDescent="0.25">
      <c r="A460" s="5" t="str">
        <f>"5711953136542"</f>
        <v>5711953136542</v>
      </c>
      <c r="B460" s="2" t="s">
        <v>1533</v>
      </c>
      <c r="C460" s="2" t="s">
        <v>1534</v>
      </c>
      <c r="D460" s="5" t="s">
        <v>15</v>
      </c>
      <c r="E460" s="5" t="s">
        <v>16</v>
      </c>
      <c r="F460" s="5" t="s">
        <v>17</v>
      </c>
      <c r="G460" s="5" t="s">
        <v>18</v>
      </c>
      <c r="H460" s="3" t="s">
        <v>27</v>
      </c>
      <c r="I460" s="3"/>
      <c r="J460" s="3" t="s">
        <v>28</v>
      </c>
      <c r="K460" s="5" t="s">
        <v>23</v>
      </c>
      <c r="L460" s="5">
        <v>14.95</v>
      </c>
      <c r="M460" s="2" t="s">
        <v>1535</v>
      </c>
    </row>
    <row r="461" spans="1:13" x14ac:dyDescent="0.25">
      <c r="A461" s="5" t="str">
        <f>"6281007025799"</f>
        <v>6281007025799</v>
      </c>
      <c r="B461" s="2" t="s">
        <v>1536</v>
      </c>
      <c r="C461" s="2" t="s">
        <v>1537</v>
      </c>
      <c r="D461" s="5" t="s">
        <v>15</v>
      </c>
      <c r="E461" s="5" t="s">
        <v>16</v>
      </c>
      <c r="F461" s="5" t="s">
        <v>17</v>
      </c>
      <c r="G461" s="5" t="s">
        <v>18</v>
      </c>
      <c r="H461" s="3" t="s">
        <v>32</v>
      </c>
      <c r="I461" s="3" t="s">
        <v>33</v>
      </c>
      <c r="J461" s="3"/>
      <c r="K461" s="5" t="s">
        <v>23</v>
      </c>
      <c r="L461" s="5">
        <v>17</v>
      </c>
      <c r="M461" s="2" t="s">
        <v>1538</v>
      </c>
    </row>
    <row r="462" spans="1:13" x14ac:dyDescent="0.25">
      <c r="A462" s="5" t="str">
        <f>"6223003771225"</f>
        <v>6223003771225</v>
      </c>
      <c r="B462" s="2" t="s">
        <v>1539</v>
      </c>
      <c r="C462" s="2" t="s">
        <v>1540</v>
      </c>
      <c r="D462" s="5" t="s">
        <v>15</v>
      </c>
      <c r="E462" s="5" t="s">
        <v>16</v>
      </c>
      <c r="F462" s="5" t="s">
        <v>17</v>
      </c>
      <c r="G462" s="5" t="s">
        <v>18</v>
      </c>
      <c r="H462" s="3" t="s">
        <v>107</v>
      </c>
      <c r="I462" s="3"/>
      <c r="J462" s="3"/>
      <c r="K462" s="5" t="s">
        <v>23</v>
      </c>
      <c r="L462" s="5">
        <v>8.75</v>
      </c>
      <c r="M462" s="2" t="s">
        <v>1541</v>
      </c>
    </row>
    <row r="463" spans="1:13" x14ac:dyDescent="0.25">
      <c r="A463" s="5" t="str">
        <f>"6281022118223"</f>
        <v>6281022118223</v>
      </c>
      <c r="B463" s="2" t="s">
        <v>1542</v>
      </c>
      <c r="C463" s="2" t="s">
        <v>1543</v>
      </c>
      <c r="D463" s="5" t="s">
        <v>15</v>
      </c>
      <c r="E463" s="5" t="s">
        <v>16</v>
      </c>
      <c r="F463" s="5" t="s">
        <v>17</v>
      </c>
      <c r="G463" s="5" t="s">
        <v>18</v>
      </c>
      <c r="H463" s="3" t="s">
        <v>59</v>
      </c>
      <c r="I463" s="3" t="s">
        <v>108</v>
      </c>
      <c r="J463" s="3" t="s">
        <v>675</v>
      </c>
      <c r="K463" s="5" t="s">
        <v>23</v>
      </c>
      <c r="L463" s="5">
        <v>2.5</v>
      </c>
      <c r="M463" s="2" t="s">
        <v>1544</v>
      </c>
    </row>
    <row r="464" spans="1:13" x14ac:dyDescent="0.25">
      <c r="A464" s="5" t="str">
        <f>"5711953074523"</f>
        <v>5711953074523</v>
      </c>
      <c r="B464" s="2" t="s">
        <v>1545</v>
      </c>
      <c r="C464" s="2" t="s">
        <v>1546</v>
      </c>
      <c r="D464" s="5" t="s">
        <v>15</v>
      </c>
      <c r="E464" s="5" t="s">
        <v>16</v>
      </c>
      <c r="F464" s="5" t="s">
        <v>17</v>
      </c>
      <c r="G464" s="5" t="s">
        <v>18</v>
      </c>
      <c r="H464" s="3" t="s">
        <v>27</v>
      </c>
      <c r="I464" s="3" t="s">
        <v>174</v>
      </c>
      <c r="J464" s="3" t="s">
        <v>577</v>
      </c>
      <c r="K464" s="5" t="s">
        <v>23</v>
      </c>
      <c r="L464" s="5">
        <v>16.95</v>
      </c>
      <c r="M464" s="2" t="s">
        <v>1547</v>
      </c>
    </row>
    <row r="465" spans="1:13" x14ac:dyDescent="0.25">
      <c r="A465" s="5" t="str">
        <f>"6281048100684"</f>
        <v>6281048100684</v>
      </c>
      <c r="B465" s="2" t="s">
        <v>1548</v>
      </c>
      <c r="C465" s="2" t="s">
        <v>1549</v>
      </c>
      <c r="D465" s="5" t="s">
        <v>15</v>
      </c>
      <c r="E465" s="5" t="s">
        <v>16</v>
      </c>
      <c r="F465" s="5" t="s">
        <v>17</v>
      </c>
      <c r="G465" s="5" t="s">
        <v>18</v>
      </c>
      <c r="H465" s="3" t="s">
        <v>27</v>
      </c>
      <c r="I465" s="3"/>
      <c r="J465" s="3" t="s">
        <v>354</v>
      </c>
      <c r="K465" s="5" t="s">
        <v>23</v>
      </c>
      <c r="L465" s="5">
        <v>11.95</v>
      </c>
      <c r="M465" s="2" t="s">
        <v>1550</v>
      </c>
    </row>
    <row r="466" spans="1:13" x14ac:dyDescent="0.25">
      <c r="A466" s="5" t="str">
        <f>"6281024010648"</f>
        <v>6281024010648</v>
      </c>
      <c r="B466" s="2" t="s">
        <v>1551</v>
      </c>
      <c r="C466" s="2" t="s">
        <v>1552</v>
      </c>
      <c r="D466" s="5" t="s">
        <v>15</v>
      </c>
      <c r="E466" s="5" t="s">
        <v>16</v>
      </c>
      <c r="F466" s="5" t="s">
        <v>17</v>
      </c>
      <c r="G466" s="5" t="s">
        <v>18</v>
      </c>
      <c r="H466" s="3" t="s">
        <v>979</v>
      </c>
      <c r="I466" s="3"/>
      <c r="J466" s="3"/>
      <c r="K466" s="5" t="s">
        <v>23</v>
      </c>
      <c r="L466" s="5">
        <v>21.95</v>
      </c>
      <c r="M466" s="2" t="s">
        <v>1553</v>
      </c>
    </row>
    <row r="467" spans="1:13" x14ac:dyDescent="0.25">
      <c r="A467" s="5" t="str">
        <f>"6281057001897"</f>
        <v>6281057001897</v>
      </c>
      <c r="B467" s="2" t="s">
        <v>1554</v>
      </c>
      <c r="C467" s="2" t="s">
        <v>1555</v>
      </c>
      <c r="D467" s="5" t="s">
        <v>15</v>
      </c>
      <c r="E467" s="5" t="s">
        <v>16</v>
      </c>
      <c r="F467" s="5" t="s">
        <v>17</v>
      </c>
      <c r="G467" s="5" t="s">
        <v>18</v>
      </c>
      <c r="H467" s="3" t="s">
        <v>44</v>
      </c>
      <c r="I467" s="3"/>
      <c r="J467" s="3"/>
      <c r="K467" s="5" t="s">
        <v>23</v>
      </c>
      <c r="L467" s="5">
        <v>8.9499999999999993</v>
      </c>
      <c r="M467" s="2" t="s">
        <v>1556</v>
      </c>
    </row>
    <row r="468" spans="1:13" x14ac:dyDescent="0.25">
      <c r="A468" s="5" t="str">
        <f>"5411188543381"</f>
        <v>5411188543381</v>
      </c>
      <c r="B468" s="2" t="s">
        <v>1557</v>
      </c>
      <c r="C468" s="2" t="s">
        <v>1558</v>
      </c>
      <c r="D468" s="5" t="s">
        <v>15</v>
      </c>
      <c r="E468" s="5" t="s">
        <v>16</v>
      </c>
      <c r="F468" s="5" t="s">
        <v>17</v>
      </c>
      <c r="G468" s="5" t="s">
        <v>18</v>
      </c>
      <c r="H468" s="3" t="s">
        <v>230</v>
      </c>
      <c r="I468" s="3"/>
      <c r="J468" s="3" t="s">
        <v>238</v>
      </c>
      <c r="K468" s="5" t="s">
        <v>23</v>
      </c>
      <c r="L468" s="5">
        <v>27</v>
      </c>
      <c r="M468" s="2" t="s">
        <v>1559</v>
      </c>
    </row>
    <row r="469" spans="1:13" x14ac:dyDescent="0.25">
      <c r="A469" s="5" t="str">
        <f>"6281020322332"</f>
        <v>6281020322332</v>
      </c>
      <c r="B469" s="2" t="s">
        <v>1560</v>
      </c>
      <c r="C469" s="2" t="s">
        <v>1561</v>
      </c>
      <c r="D469" s="5" t="s">
        <v>15</v>
      </c>
      <c r="E469" s="5" t="s">
        <v>16</v>
      </c>
      <c r="F469" s="5" t="s">
        <v>17</v>
      </c>
      <c r="G469" s="5" t="s">
        <v>18</v>
      </c>
      <c r="H469" s="3" t="s">
        <v>1146</v>
      </c>
      <c r="I469" s="3"/>
      <c r="J469" s="3" t="s">
        <v>510</v>
      </c>
      <c r="K469" s="5" t="s">
        <v>23</v>
      </c>
      <c r="L469" s="5">
        <v>17</v>
      </c>
      <c r="M469" s="2" t="s">
        <v>1562</v>
      </c>
    </row>
    <row r="470" spans="1:13" x14ac:dyDescent="0.25">
      <c r="A470" s="5" t="str">
        <f>"6281018302988"</f>
        <v>6281018302988</v>
      </c>
      <c r="B470" s="2" t="s">
        <v>1563</v>
      </c>
      <c r="C470" s="2" t="s">
        <v>1564</v>
      </c>
      <c r="D470" s="5" t="s">
        <v>15</v>
      </c>
      <c r="E470" s="5" t="s">
        <v>16</v>
      </c>
      <c r="F470" s="5" t="s">
        <v>17</v>
      </c>
      <c r="G470" s="5" t="s">
        <v>18</v>
      </c>
      <c r="H470" s="3" t="s">
        <v>67</v>
      </c>
      <c r="I470" s="3"/>
      <c r="J470" s="3"/>
      <c r="K470" s="5" t="s">
        <v>23</v>
      </c>
      <c r="L470" s="5">
        <v>5.45</v>
      </c>
      <c r="M470" s="2" t="s">
        <v>1565</v>
      </c>
    </row>
    <row r="471" spans="1:13" x14ac:dyDescent="0.25">
      <c r="A471" s="5" t="str">
        <f>"2144138000001"</f>
        <v>2144138000001</v>
      </c>
      <c r="B471" s="2" t="s">
        <v>1566</v>
      </c>
      <c r="C471" s="2" t="s">
        <v>1567</v>
      </c>
      <c r="D471" s="5" t="s">
        <v>15</v>
      </c>
      <c r="E471" s="5" t="s">
        <v>16</v>
      </c>
      <c r="F471" s="5" t="s">
        <v>17</v>
      </c>
      <c r="G471" s="5" t="s">
        <v>18</v>
      </c>
      <c r="H471" s="3"/>
      <c r="I471" s="3"/>
      <c r="J471" s="3"/>
      <c r="K471" s="5" t="s">
        <v>19</v>
      </c>
      <c r="L471" s="5">
        <v>34.950000000000003</v>
      </c>
      <c r="M471" s="2" t="s">
        <v>1568</v>
      </c>
    </row>
    <row r="472" spans="1:13" x14ac:dyDescent="0.25">
      <c r="A472" s="5" t="str">
        <f>"3155250365083"</f>
        <v>3155250365083</v>
      </c>
      <c r="B472" s="2" t="s">
        <v>1569</v>
      </c>
      <c r="C472" s="2" t="s">
        <v>1570</v>
      </c>
      <c r="D472" s="5" t="s">
        <v>15</v>
      </c>
      <c r="E472" s="5" t="s">
        <v>16</v>
      </c>
      <c r="F472" s="5" t="s">
        <v>17</v>
      </c>
      <c r="G472" s="5" t="s">
        <v>18</v>
      </c>
      <c r="H472" s="3" t="s">
        <v>107</v>
      </c>
      <c r="I472" s="3"/>
      <c r="J472" s="3"/>
      <c r="K472" s="5" t="s">
        <v>23</v>
      </c>
      <c r="L472" s="5">
        <v>9.9499999999999993</v>
      </c>
      <c r="M472" s="2" t="s">
        <v>1571</v>
      </c>
    </row>
    <row r="473" spans="1:13" x14ac:dyDescent="0.25">
      <c r="A473" s="5" t="str">
        <f>"6281018305743"</f>
        <v>6281018305743</v>
      </c>
      <c r="B473" s="2" t="s">
        <v>1572</v>
      </c>
      <c r="C473" s="2" t="s">
        <v>1573</v>
      </c>
      <c r="D473" s="5" t="s">
        <v>15</v>
      </c>
      <c r="E473" s="5" t="s">
        <v>16</v>
      </c>
      <c r="F473" s="5" t="s">
        <v>17</v>
      </c>
      <c r="G473" s="5" t="s">
        <v>18</v>
      </c>
      <c r="H473" s="3" t="s">
        <v>67</v>
      </c>
      <c r="I473" s="3"/>
      <c r="J473" s="3" t="s">
        <v>1574</v>
      </c>
      <c r="K473" s="5" t="s">
        <v>23</v>
      </c>
      <c r="L473" s="5">
        <v>7</v>
      </c>
      <c r="M473" s="2" t="s">
        <v>1575</v>
      </c>
    </row>
    <row r="474" spans="1:13" x14ac:dyDescent="0.25">
      <c r="A474" s="5" t="str">
        <f>"6281018167815"</f>
        <v>6281018167815</v>
      </c>
      <c r="B474" s="2" t="s">
        <v>1576</v>
      </c>
      <c r="C474" s="2" t="s">
        <v>1577</v>
      </c>
      <c r="D474" s="5" t="s">
        <v>15</v>
      </c>
      <c r="E474" s="5" t="s">
        <v>16</v>
      </c>
      <c r="F474" s="5" t="s">
        <v>17</v>
      </c>
      <c r="G474" s="5" t="s">
        <v>18</v>
      </c>
      <c r="H474" s="3" t="s">
        <v>67</v>
      </c>
      <c r="I474" s="3"/>
      <c r="J474" s="3"/>
      <c r="K474" s="5" t="s">
        <v>23</v>
      </c>
      <c r="L474" s="5">
        <v>14.5</v>
      </c>
      <c r="M474" s="2" t="s">
        <v>1578</v>
      </c>
    </row>
    <row r="475" spans="1:13" x14ac:dyDescent="0.25">
      <c r="A475" s="5" t="str">
        <f>"5711953155390"</f>
        <v>5711953155390</v>
      </c>
      <c r="B475" s="2" t="s">
        <v>1579</v>
      </c>
      <c r="C475" s="2" t="s">
        <v>1580</v>
      </c>
      <c r="D475" s="5" t="s">
        <v>15</v>
      </c>
      <c r="E475" s="5" t="s">
        <v>16</v>
      </c>
      <c r="F475" s="5" t="s">
        <v>17</v>
      </c>
      <c r="G475" s="5" t="s">
        <v>18</v>
      </c>
      <c r="H475" s="3" t="s">
        <v>27</v>
      </c>
      <c r="I475" s="3"/>
      <c r="J475" s="3" t="s">
        <v>109</v>
      </c>
      <c r="K475" s="5" t="s">
        <v>23</v>
      </c>
      <c r="L475" s="5">
        <v>20.25</v>
      </c>
      <c r="M475" s="2" t="s">
        <v>1581</v>
      </c>
    </row>
    <row r="476" spans="1:13" x14ac:dyDescent="0.25">
      <c r="A476" s="5" t="str">
        <f>"6281018154945"</f>
        <v>6281018154945</v>
      </c>
      <c r="B476" s="2" t="s">
        <v>1582</v>
      </c>
      <c r="C476" s="2" t="s">
        <v>1583</v>
      </c>
      <c r="D476" s="5" t="s">
        <v>15</v>
      </c>
      <c r="E476" s="5" t="s">
        <v>16</v>
      </c>
      <c r="F476" s="5" t="s">
        <v>17</v>
      </c>
      <c r="G476" s="5" t="s">
        <v>18</v>
      </c>
      <c r="H476" s="3" t="s">
        <v>67</v>
      </c>
      <c r="I476" s="3" t="s">
        <v>33</v>
      </c>
      <c r="J476" s="3" t="s">
        <v>1574</v>
      </c>
      <c r="K476" s="5" t="s">
        <v>23</v>
      </c>
      <c r="L476" s="5">
        <v>7</v>
      </c>
      <c r="M476" s="2" t="s">
        <v>1584</v>
      </c>
    </row>
    <row r="477" spans="1:13" x14ac:dyDescent="0.25">
      <c r="A477" s="5" t="str">
        <f>"6281051002265"</f>
        <v>6281051002265</v>
      </c>
      <c r="B477" s="2" t="s">
        <v>1585</v>
      </c>
      <c r="C477" s="2" t="s">
        <v>1586</v>
      </c>
      <c r="D477" s="5" t="s">
        <v>15</v>
      </c>
      <c r="E477" s="5" t="s">
        <v>16</v>
      </c>
      <c r="F477" s="5" t="s">
        <v>17</v>
      </c>
      <c r="G477" s="5" t="s">
        <v>18</v>
      </c>
      <c r="H477" s="3" t="s">
        <v>83</v>
      </c>
      <c r="I477" s="3"/>
      <c r="J477" s="3" t="s">
        <v>354</v>
      </c>
      <c r="K477" s="5" t="s">
        <v>23</v>
      </c>
      <c r="L477" s="5">
        <v>10.5</v>
      </c>
      <c r="M477" s="2" t="s">
        <v>1587</v>
      </c>
    </row>
    <row r="478" spans="1:13" x14ac:dyDescent="0.25">
      <c r="A478" s="5" t="str">
        <f>"6281024110102"</f>
        <v>6281024110102</v>
      </c>
      <c r="B478" s="2" t="s">
        <v>1588</v>
      </c>
      <c r="C478" s="2" t="s">
        <v>1589</v>
      </c>
      <c r="D478" s="5" t="s">
        <v>15</v>
      </c>
      <c r="E478" s="5" t="s">
        <v>16</v>
      </c>
      <c r="F478" s="5" t="s">
        <v>17</v>
      </c>
      <c r="G478" s="5" t="s">
        <v>18</v>
      </c>
      <c r="H478" s="3" t="s">
        <v>107</v>
      </c>
      <c r="I478" s="3" t="s">
        <v>108</v>
      </c>
      <c r="J478" s="3" t="s">
        <v>28</v>
      </c>
      <c r="K478" s="5" t="s">
        <v>23</v>
      </c>
      <c r="L478" s="5">
        <v>10</v>
      </c>
      <c r="M478" s="2" t="s">
        <v>1590</v>
      </c>
    </row>
    <row r="479" spans="1:13" x14ac:dyDescent="0.25">
      <c r="A479" s="5" t="str">
        <f>"2144430000006"</f>
        <v>2144430000006</v>
      </c>
      <c r="B479" s="2" t="s">
        <v>1591</v>
      </c>
      <c r="C479" s="2" t="s">
        <v>1592</v>
      </c>
      <c r="D479" s="5" t="s">
        <v>15</v>
      </c>
      <c r="E479" s="5" t="s">
        <v>16</v>
      </c>
      <c r="F479" s="5" t="s">
        <v>17</v>
      </c>
      <c r="G479" s="5" t="s">
        <v>18</v>
      </c>
      <c r="H479" s="3"/>
      <c r="I479" s="3"/>
      <c r="J479" s="3"/>
      <c r="K479" s="5" t="s">
        <v>19</v>
      </c>
      <c r="L479" s="5">
        <v>39.950000000000003</v>
      </c>
      <c r="M479" s="2" t="s">
        <v>1593</v>
      </c>
    </row>
    <row r="480" spans="1:13" x14ac:dyDescent="0.25">
      <c r="A480" s="5" t="str">
        <f>"6281057007264"</f>
        <v>6281057007264</v>
      </c>
      <c r="B480" s="2" t="s">
        <v>1594</v>
      </c>
      <c r="C480" s="2" t="s">
        <v>1595</v>
      </c>
      <c r="D480" s="5" t="s">
        <v>15</v>
      </c>
      <c r="E480" s="5" t="s">
        <v>16</v>
      </c>
      <c r="F480" s="5" t="s">
        <v>17</v>
      </c>
      <c r="G480" s="5" t="s">
        <v>18</v>
      </c>
      <c r="H480" s="3" t="s">
        <v>44</v>
      </c>
      <c r="I480" s="3"/>
      <c r="J480" s="3"/>
      <c r="K480" s="5" t="s">
        <v>23</v>
      </c>
      <c r="L480" s="5">
        <v>1.25</v>
      </c>
      <c r="M480" s="2" t="s">
        <v>1596</v>
      </c>
    </row>
    <row r="481" spans="1:13" x14ac:dyDescent="0.25">
      <c r="A481" s="5" t="str">
        <f>"3161911703385"</f>
        <v>3161911703385</v>
      </c>
      <c r="B481" s="2" t="s">
        <v>1597</v>
      </c>
      <c r="C481" s="2" t="s">
        <v>1598</v>
      </c>
      <c r="D481" s="5" t="s">
        <v>15</v>
      </c>
      <c r="E481" s="5" t="s">
        <v>16</v>
      </c>
      <c r="F481" s="5" t="s">
        <v>17</v>
      </c>
      <c r="G481" s="5" t="s">
        <v>18</v>
      </c>
      <c r="H481" s="3" t="s">
        <v>1010</v>
      </c>
      <c r="I481" s="3" t="s">
        <v>108</v>
      </c>
      <c r="J481" s="3" t="s">
        <v>238</v>
      </c>
      <c r="K481" s="5" t="s">
        <v>23</v>
      </c>
      <c r="L481" s="5">
        <v>48.25</v>
      </c>
      <c r="M481" s="2" t="s">
        <v>1599</v>
      </c>
    </row>
    <row r="482" spans="1:13" x14ac:dyDescent="0.25">
      <c r="A482" s="5" t="str">
        <f>"6281022130409"</f>
        <v>6281022130409</v>
      </c>
      <c r="B482" s="2" t="s">
        <v>1600</v>
      </c>
      <c r="C482" s="2" t="s">
        <v>1601</v>
      </c>
      <c r="D482" s="5" t="s">
        <v>15</v>
      </c>
      <c r="E482" s="5" t="s">
        <v>16</v>
      </c>
      <c r="F482" s="5" t="s">
        <v>17</v>
      </c>
      <c r="G482" s="5" t="s">
        <v>18</v>
      </c>
      <c r="H482" s="3"/>
      <c r="I482" s="3"/>
      <c r="J482" s="3"/>
      <c r="K482" s="5" t="s">
        <v>23</v>
      </c>
      <c r="L482" s="5">
        <v>2</v>
      </c>
      <c r="M482" s="2" t="s">
        <v>1602</v>
      </c>
    </row>
    <row r="483" spans="1:13" x14ac:dyDescent="0.25">
      <c r="A483" s="5" t="str">
        <f>"5711953074547"</f>
        <v>5711953074547</v>
      </c>
      <c r="B483" s="2" t="s">
        <v>1603</v>
      </c>
      <c r="C483" s="2" t="s">
        <v>1604</v>
      </c>
      <c r="D483" s="5" t="s">
        <v>15</v>
      </c>
      <c r="E483" s="5" t="s">
        <v>16</v>
      </c>
      <c r="F483" s="5" t="s">
        <v>17</v>
      </c>
      <c r="G483" s="5" t="s">
        <v>18</v>
      </c>
      <c r="H483" s="3" t="s">
        <v>27</v>
      </c>
      <c r="I483" s="3"/>
      <c r="J483" s="3"/>
      <c r="K483" s="5" t="s">
        <v>23</v>
      </c>
      <c r="L483" s="5">
        <v>16.95</v>
      </c>
      <c r="M483" s="2" t="s">
        <v>1605</v>
      </c>
    </row>
    <row r="484" spans="1:13" x14ac:dyDescent="0.25">
      <c r="A484" s="5" t="str">
        <f>"5711953113505"</f>
        <v>5711953113505</v>
      </c>
      <c r="B484" s="2" t="s">
        <v>1606</v>
      </c>
      <c r="C484" s="2" t="s">
        <v>1607</v>
      </c>
      <c r="D484" s="5" t="s">
        <v>15</v>
      </c>
      <c r="E484" s="5" t="s">
        <v>16</v>
      </c>
      <c r="F484" s="5" t="s">
        <v>17</v>
      </c>
      <c r="G484" s="5" t="s">
        <v>18</v>
      </c>
      <c r="H484" s="3" t="s">
        <v>206</v>
      </c>
      <c r="I484" s="3"/>
      <c r="J484" s="3" t="s">
        <v>109</v>
      </c>
      <c r="K484" s="5" t="s">
        <v>23</v>
      </c>
      <c r="L484" s="5">
        <v>23.5</v>
      </c>
      <c r="M484" s="2" t="s">
        <v>1608</v>
      </c>
    </row>
    <row r="485" spans="1:13" x14ac:dyDescent="0.25">
      <c r="A485" s="5" t="str">
        <f>"2143720000009"</f>
        <v>2143720000009</v>
      </c>
      <c r="B485" s="2" t="s">
        <v>1609</v>
      </c>
      <c r="C485" s="2" t="s">
        <v>1610</v>
      </c>
      <c r="D485" s="5" t="s">
        <v>15</v>
      </c>
      <c r="E485" s="5" t="s">
        <v>16</v>
      </c>
      <c r="F485" s="5" t="s">
        <v>17</v>
      </c>
      <c r="G485" s="5" t="s">
        <v>18</v>
      </c>
      <c r="H485" s="3"/>
      <c r="I485" s="3"/>
      <c r="J485" s="3"/>
      <c r="K485" s="5" t="s">
        <v>19</v>
      </c>
      <c r="L485" s="5">
        <v>82.95</v>
      </c>
      <c r="M485" s="2" t="s">
        <v>1611</v>
      </c>
    </row>
    <row r="486" spans="1:13" x14ac:dyDescent="0.25">
      <c r="A486" s="5" t="str">
        <f>"6281057090006"</f>
        <v>6281057090006</v>
      </c>
      <c r="B486" s="2" t="s">
        <v>1612</v>
      </c>
      <c r="C486" s="2" t="s">
        <v>1613</v>
      </c>
      <c r="D486" s="5" t="s">
        <v>15</v>
      </c>
      <c r="E486" s="5" t="s">
        <v>16</v>
      </c>
      <c r="F486" s="5" t="s">
        <v>17</v>
      </c>
      <c r="G486" s="5" t="s">
        <v>18</v>
      </c>
      <c r="H486" s="3" t="s">
        <v>44</v>
      </c>
      <c r="I486" s="3"/>
      <c r="J486" s="3"/>
      <c r="K486" s="5" t="s">
        <v>23</v>
      </c>
      <c r="L486" s="5">
        <v>6</v>
      </c>
      <c r="M486" s="2" t="s">
        <v>1614</v>
      </c>
    </row>
    <row r="487" spans="1:13" x14ac:dyDescent="0.25">
      <c r="A487" s="5" t="str">
        <f>"3251350163007"</f>
        <v>3251350163007</v>
      </c>
      <c r="B487" s="2" t="s">
        <v>1615</v>
      </c>
      <c r="C487" s="2" t="s">
        <v>1616</v>
      </c>
      <c r="D487" s="5" t="s">
        <v>15</v>
      </c>
      <c r="E487" s="5" t="s">
        <v>16</v>
      </c>
      <c r="F487" s="5" t="s">
        <v>17</v>
      </c>
      <c r="G487" s="5" t="s">
        <v>18</v>
      </c>
      <c r="H487" s="3" t="s">
        <v>1617</v>
      </c>
      <c r="I487" s="3" t="s">
        <v>1138</v>
      </c>
      <c r="J487" s="3" t="s">
        <v>427</v>
      </c>
      <c r="K487" s="5" t="s">
        <v>23</v>
      </c>
      <c r="L487" s="5">
        <v>17.95</v>
      </c>
      <c r="M487" s="2" t="s">
        <v>1618</v>
      </c>
    </row>
    <row r="488" spans="1:13" x14ac:dyDescent="0.25">
      <c r="A488" s="5" t="str">
        <f>"6281020320949"</f>
        <v>6281020320949</v>
      </c>
      <c r="B488" s="2" t="s">
        <v>1619</v>
      </c>
      <c r="C488" s="2" t="s">
        <v>1620</v>
      </c>
      <c r="D488" s="5" t="s">
        <v>15</v>
      </c>
      <c r="E488" s="5" t="s">
        <v>16</v>
      </c>
      <c r="F488" s="5" t="s">
        <v>17</v>
      </c>
      <c r="G488" s="5" t="s">
        <v>18</v>
      </c>
      <c r="H488" s="3" t="s">
        <v>1146</v>
      </c>
      <c r="I488" s="3"/>
      <c r="J488" s="3"/>
      <c r="K488" s="5" t="s">
        <v>23</v>
      </c>
      <c r="L488" s="5">
        <v>30.25</v>
      </c>
      <c r="M488" s="2" t="s">
        <v>1621</v>
      </c>
    </row>
    <row r="489" spans="1:13" x14ac:dyDescent="0.25">
      <c r="A489" s="5" t="str">
        <f>"2145862000008"</f>
        <v>2145862000008</v>
      </c>
      <c r="B489" s="2" t="s">
        <v>1622</v>
      </c>
      <c r="C489" s="2" t="s">
        <v>1623</v>
      </c>
      <c r="D489" s="5" t="s">
        <v>15</v>
      </c>
      <c r="E489" s="5" t="s">
        <v>16</v>
      </c>
      <c r="F489" s="5" t="s">
        <v>17</v>
      </c>
      <c r="G489" s="5" t="s">
        <v>18</v>
      </c>
      <c r="H489" s="3"/>
      <c r="I489" s="3"/>
      <c r="J489" s="3"/>
      <c r="K489" s="5" t="s">
        <v>19</v>
      </c>
      <c r="L489" s="5">
        <v>38.950000000000003</v>
      </c>
      <c r="M489" s="2" t="s">
        <v>1624</v>
      </c>
    </row>
    <row r="490" spans="1:13" x14ac:dyDescent="0.25">
      <c r="A490" s="5" t="str">
        <f>"6281007061742"</f>
        <v>6281007061742</v>
      </c>
      <c r="B490" s="2" t="s">
        <v>1625</v>
      </c>
      <c r="C490" s="2" t="s">
        <v>1626</v>
      </c>
      <c r="D490" s="5" t="s">
        <v>15</v>
      </c>
      <c r="E490" s="5" t="s">
        <v>16</v>
      </c>
      <c r="F490" s="5" t="s">
        <v>17</v>
      </c>
      <c r="G490" s="5" t="s">
        <v>18</v>
      </c>
      <c r="H490" s="3" t="s">
        <v>32</v>
      </c>
      <c r="I490" s="3"/>
      <c r="J490" s="3" t="s">
        <v>375</v>
      </c>
      <c r="K490" s="5" t="s">
        <v>23</v>
      </c>
      <c r="L490" s="5">
        <v>12.95</v>
      </c>
      <c r="M490" s="2" t="s">
        <v>1627</v>
      </c>
    </row>
    <row r="491" spans="1:13" x14ac:dyDescent="0.25">
      <c r="A491" s="5" t="str">
        <f>"6281048100707"</f>
        <v>6281048100707</v>
      </c>
      <c r="B491" s="2" t="s">
        <v>1628</v>
      </c>
      <c r="C491" s="2" t="s">
        <v>1629</v>
      </c>
      <c r="D491" s="5" t="s">
        <v>15</v>
      </c>
      <c r="E491" s="5" t="s">
        <v>16</v>
      </c>
      <c r="F491" s="5" t="s">
        <v>17</v>
      </c>
      <c r="G491" s="5" t="s">
        <v>18</v>
      </c>
      <c r="H491" s="3" t="s">
        <v>27</v>
      </c>
      <c r="I491" s="3"/>
      <c r="J491" s="3" t="s">
        <v>109</v>
      </c>
      <c r="K491" s="5" t="s">
        <v>23</v>
      </c>
      <c r="L491" s="5">
        <v>26.95</v>
      </c>
      <c r="M491" s="2" t="s">
        <v>1630</v>
      </c>
    </row>
    <row r="492" spans="1:13" x14ac:dyDescent="0.25">
      <c r="A492" s="5" t="str">
        <f>"6281039172539"</f>
        <v>6281039172539</v>
      </c>
      <c r="B492" s="2" t="s">
        <v>1631</v>
      </c>
      <c r="C492" s="2" t="s">
        <v>1632</v>
      </c>
      <c r="D492" s="5" t="s">
        <v>15</v>
      </c>
      <c r="E492" s="5" t="s">
        <v>16</v>
      </c>
      <c r="F492" s="5" t="s">
        <v>17</v>
      </c>
      <c r="G492" s="5" t="s">
        <v>18</v>
      </c>
      <c r="H492" s="3" t="s">
        <v>146</v>
      </c>
      <c r="I492" s="3"/>
      <c r="J492" s="3"/>
      <c r="K492" s="5" t="s">
        <v>23</v>
      </c>
      <c r="L492" s="5">
        <v>31</v>
      </c>
      <c r="M492" s="2" t="s">
        <v>1633</v>
      </c>
    </row>
    <row r="493" spans="1:13" x14ac:dyDescent="0.25">
      <c r="A493" s="5" t="str">
        <f>"5760466747288"</f>
        <v>5760466747288</v>
      </c>
      <c r="B493" s="2" t="s">
        <v>1634</v>
      </c>
      <c r="C493" s="2" t="s">
        <v>1635</v>
      </c>
      <c r="D493" s="5" t="s">
        <v>15</v>
      </c>
      <c r="E493" s="5" t="s">
        <v>16</v>
      </c>
      <c r="F493" s="5" t="s">
        <v>17</v>
      </c>
      <c r="G493" s="5" t="s">
        <v>18</v>
      </c>
      <c r="H493" s="3" t="s">
        <v>509</v>
      </c>
      <c r="I493" s="3" t="s">
        <v>33</v>
      </c>
      <c r="J493" s="3" t="s">
        <v>28</v>
      </c>
      <c r="K493" s="5" t="s">
        <v>23</v>
      </c>
      <c r="L493" s="5">
        <v>4.95</v>
      </c>
      <c r="M493" s="2" t="s">
        <v>1636</v>
      </c>
    </row>
    <row r="494" spans="1:13" x14ac:dyDescent="0.25">
      <c r="A494" s="5" t="str">
        <f>"6281024110126"</f>
        <v>6281024110126</v>
      </c>
      <c r="B494" s="2" t="s">
        <v>1637</v>
      </c>
      <c r="C494" s="2" t="s">
        <v>1638</v>
      </c>
      <c r="D494" s="5" t="s">
        <v>15</v>
      </c>
      <c r="E494" s="5" t="s">
        <v>16</v>
      </c>
      <c r="F494" s="5" t="s">
        <v>17</v>
      </c>
      <c r="G494" s="5" t="s">
        <v>18</v>
      </c>
      <c r="H494" s="3" t="s">
        <v>107</v>
      </c>
      <c r="I494" s="3" t="s">
        <v>108</v>
      </c>
      <c r="J494" s="3" t="s">
        <v>28</v>
      </c>
      <c r="K494" s="5" t="s">
        <v>23</v>
      </c>
      <c r="L494" s="5">
        <v>9.5</v>
      </c>
      <c r="M494" s="2" t="s">
        <v>1639</v>
      </c>
    </row>
    <row r="495" spans="1:13" x14ac:dyDescent="0.25">
      <c r="A495" s="5" t="str">
        <f>"2147571000003"</f>
        <v>2147571000003</v>
      </c>
      <c r="B495" s="2" t="s">
        <v>1640</v>
      </c>
      <c r="C495" s="2" t="s">
        <v>1641</v>
      </c>
      <c r="D495" s="5" t="s">
        <v>15</v>
      </c>
      <c r="E495" s="5" t="s">
        <v>16</v>
      </c>
      <c r="F495" s="5" t="s">
        <v>17</v>
      </c>
      <c r="G495" s="5" t="s">
        <v>18</v>
      </c>
      <c r="H495" s="3"/>
      <c r="I495" s="3" t="s">
        <v>33</v>
      </c>
      <c r="J495" s="3" t="s">
        <v>1642</v>
      </c>
      <c r="K495" s="5" t="s">
        <v>23</v>
      </c>
      <c r="L495" s="5">
        <v>87.95</v>
      </c>
      <c r="M495" s="2" t="s">
        <v>1643</v>
      </c>
    </row>
    <row r="496" spans="1:13" x14ac:dyDescent="0.25">
      <c r="A496" s="5" t="str">
        <f>"2143266000006"</f>
        <v>2143266000006</v>
      </c>
      <c r="B496" s="2" t="s">
        <v>1644</v>
      </c>
      <c r="C496" s="2" t="s">
        <v>1645</v>
      </c>
      <c r="D496" s="5" t="s">
        <v>15</v>
      </c>
      <c r="E496" s="5" t="s">
        <v>16</v>
      </c>
      <c r="F496" s="5" t="s">
        <v>17</v>
      </c>
      <c r="G496" s="5" t="s">
        <v>18</v>
      </c>
      <c r="H496" s="3"/>
      <c r="I496" s="3"/>
      <c r="J496" s="3"/>
      <c r="K496" s="5" t="s">
        <v>19</v>
      </c>
      <c r="L496" s="5">
        <v>70.95</v>
      </c>
      <c r="M496" s="2" t="s">
        <v>1646</v>
      </c>
    </row>
    <row r="497" spans="1:13" x14ac:dyDescent="0.25">
      <c r="A497" s="5" t="str">
        <f>"6271002190424"</f>
        <v>6271002190424</v>
      </c>
      <c r="B497" s="2" t="s">
        <v>1647</v>
      </c>
      <c r="C497" s="2" t="s">
        <v>1648</v>
      </c>
      <c r="D497" s="5" t="s">
        <v>15</v>
      </c>
      <c r="E497" s="5" t="s">
        <v>16</v>
      </c>
      <c r="F497" s="5" t="s">
        <v>17</v>
      </c>
      <c r="G497" s="5" t="s">
        <v>18</v>
      </c>
      <c r="H497" s="3" t="s">
        <v>100</v>
      </c>
      <c r="I497" s="3"/>
      <c r="J497" s="3"/>
      <c r="K497" s="5" t="s">
        <v>23</v>
      </c>
      <c r="L497" s="5">
        <v>30.5</v>
      </c>
      <c r="M497" s="2" t="s">
        <v>1649</v>
      </c>
    </row>
    <row r="498" spans="1:13" x14ac:dyDescent="0.25">
      <c r="A498" s="5" t="str">
        <f>"6281100504030"</f>
        <v>6281100504030</v>
      </c>
      <c r="B498" s="2" t="s">
        <v>1650</v>
      </c>
      <c r="C498" s="2" t="s">
        <v>1651</v>
      </c>
      <c r="D498" s="5" t="s">
        <v>15</v>
      </c>
      <c r="E498" s="5" t="s">
        <v>16</v>
      </c>
      <c r="F498" s="5" t="s">
        <v>17</v>
      </c>
      <c r="G498" s="5" t="s">
        <v>18</v>
      </c>
      <c r="H498" s="3" t="s">
        <v>466</v>
      </c>
      <c r="I498" s="3"/>
      <c r="J498" s="3" t="s">
        <v>1652</v>
      </c>
      <c r="K498" s="5" t="s">
        <v>23</v>
      </c>
      <c r="L498" s="5">
        <v>61</v>
      </c>
      <c r="M498" s="2" t="s">
        <v>1653</v>
      </c>
    </row>
    <row r="499" spans="1:13" x14ac:dyDescent="0.25">
      <c r="A499" s="5" t="str">
        <f>"5711953113529"</f>
        <v>5711953113529</v>
      </c>
      <c r="B499" s="2" t="s">
        <v>1654</v>
      </c>
      <c r="C499" s="2" t="s">
        <v>1655</v>
      </c>
      <c r="D499" s="5" t="s">
        <v>15</v>
      </c>
      <c r="E499" s="5" t="s">
        <v>16</v>
      </c>
      <c r="F499" s="5" t="s">
        <v>17</v>
      </c>
      <c r="G499" s="5" t="s">
        <v>18</v>
      </c>
      <c r="H499" s="3" t="s">
        <v>206</v>
      </c>
      <c r="I499" s="3"/>
      <c r="J499" s="3" t="s">
        <v>28</v>
      </c>
      <c r="K499" s="5" t="s">
        <v>23</v>
      </c>
      <c r="L499" s="5">
        <v>13</v>
      </c>
      <c r="M499" s="2" t="s">
        <v>1656</v>
      </c>
    </row>
    <row r="500" spans="1:13" x14ac:dyDescent="0.25">
      <c r="A500" s="5" t="str">
        <f>"6281100502456"</f>
        <v>6281100502456</v>
      </c>
      <c r="B500" s="2" t="s">
        <v>1657</v>
      </c>
      <c r="C500" s="2" t="s">
        <v>1658</v>
      </c>
      <c r="D500" s="5" t="s">
        <v>15</v>
      </c>
      <c r="E500" s="5" t="s">
        <v>16</v>
      </c>
      <c r="F500" s="5" t="s">
        <v>17</v>
      </c>
      <c r="G500" s="5" t="s">
        <v>18</v>
      </c>
      <c r="H500" s="3" t="s">
        <v>466</v>
      </c>
      <c r="I500" s="3"/>
      <c r="J500" s="3"/>
      <c r="K500" s="5" t="s">
        <v>23</v>
      </c>
      <c r="L500" s="5">
        <v>7.75</v>
      </c>
      <c r="M500" s="2" t="s">
        <v>1659</v>
      </c>
    </row>
    <row r="501" spans="1:13" x14ac:dyDescent="0.25">
      <c r="A501" s="5" t="str">
        <f>"2143085000003"</f>
        <v>2143085000003</v>
      </c>
      <c r="B501" s="2" t="s">
        <v>1660</v>
      </c>
      <c r="C501" s="2" t="s">
        <v>1661</v>
      </c>
      <c r="D501" s="5" t="s">
        <v>15</v>
      </c>
      <c r="E501" s="5" t="s">
        <v>16</v>
      </c>
      <c r="F501" s="5" t="s">
        <v>17</v>
      </c>
      <c r="G501" s="5" t="s">
        <v>18</v>
      </c>
      <c r="H501" s="3"/>
      <c r="I501" s="3"/>
      <c r="J501" s="3"/>
      <c r="K501" s="5" t="s">
        <v>19</v>
      </c>
      <c r="L501" s="5">
        <v>39.950000000000003</v>
      </c>
      <c r="M501" s="2" t="s">
        <v>1662</v>
      </c>
    </row>
    <row r="502" spans="1:13" x14ac:dyDescent="0.25">
      <c r="A502" s="5" t="str">
        <f>"6287004520367"</f>
        <v>6287004520367</v>
      </c>
      <c r="B502" s="2" t="s">
        <v>1663</v>
      </c>
      <c r="C502" s="2" t="s">
        <v>1664</v>
      </c>
      <c r="D502" s="5" t="s">
        <v>15</v>
      </c>
      <c r="E502" s="5" t="s">
        <v>16</v>
      </c>
      <c r="F502" s="5" t="s">
        <v>17</v>
      </c>
      <c r="G502" s="5" t="s">
        <v>18</v>
      </c>
      <c r="H502" s="3" t="s">
        <v>48</v>
      </c>
      <c r="I502" s="3"/>
      <c r="J502" s="3"/>
      <c r="K502" s="5" t="s">
        <v>23</v>
      </c>
      <c r="L502" s="5">
        <v>6.75</v>
      </c>
      <c r="M502" s="2" t="s">
        <v>1665</v>
      </c>
    </row>
    <row r="503" spans="1:13" x14ac:dyDescent="0.25">
      <c r="A503" s="5" t="str">
        <f>"6281007030410"</f>
        <v>6281007030410</v>
      </c>
      <c r="B503" s="2" t="s">
        <v>1666</v>
      </c>
      <c r="C503" s="2" t="s">
        <v>1667</v>
      </c>
      <c r="D503" s="5" t="s">
        <v>15</v>
      </c>
      <c r="E503" s="5" t="s">
        <v>16</v>
      </c>
      <c r="F503" s="5" t="s">
        <v>17</v>
      </c>
      <c r="G503" s="5" t="s">
        <v>18</v>
      </c>
      <c r="H503" s="3" t="s">
        <v>32</v>
      </c>
      <c r="I503" s="3" t="s">
        <v>33</v>
      </c>
      <c r="J503" s="3" t="s">
        <v>385</v>
      </c>
      <c r="K503" s="5" t="s">
        <v>23</v>
      </c>
      <c r="L503" s="5">
        <v>2</v>
      </c>
      <c r="M503" s="2" t="s">
        <v>1668</v>
      </c>
    </row>
    <row r="504" spans="1:13" x14ac:dyDescent="0.25">
      <c r="A504" s="5" t="str">
        <f>"3073780904148"</f>
        <v>3073780904148</v>
      </c>
      <c r="B504" s="2" t="s">
        <v>1669</v>
      </c>
      <c r="C504" s="2" t="s">
        <v>1670</v>
      </c>
      <c r="D504" s="5" t="s">
        <v>15</v>
      </c>
      <c r="E504" s="5" t="s">
        <v>16</v>
      </c>
      <c r="F504" s="5" t="s">
        <v>17</v>
      </c>
      <c r="G504" s="5" t="s">
        <v>18</v>
      </c>
      <c r="H504" s="3" t="s">
        <v>87</v>
      </c>
      <c r="I504" s="3" t="s">
        <v>1138</v>
      </c>
      <c r="J504" s="3" t="s">
        <v>1671</v>
      </c>
      <c r="K504" s="5" t="s">
        <v>23</v>
      </c>
      <c r="L504" s="5">
        <v>32</v>
      </c>
      <c r="M504" s="2" t="s">
        <v>1672</v>
      </c>
    </row>
    <row r="505" spans="1:13" x14ac:dyDescent="0.25">
      <c r="A505" s="5" t="str">
        <f>"3228022970195"</f>
        <v>3228022970195</v>
      </c>
      <c r="B505" s="2" t="s">
        <v>1673</v>
      </c>
      <c r="C505" s="2" t="s">
        <v>1674</v>
      </c>
      <c r="D505" s="5" t="s">
        <v>15</v>
      </c>
      <c r="E505" s="5" t="s">
        <v>16</v>
      </c>
      <c r="F505" s="5" t="s">
        <v>17</v>
      </c>
      <c r="G505" s="5" t="s">
        <v>18</v>
      </c>
      <c r="H505" s="3" t="s">
        <v>107</v>
      </c>
      <c r="I505" s="3" t="s">
        <v>108</v>
      </c>
      <c r="J505" s="3" t="s">
        <v>109</v>
      </c>
      <c r="K505" s="5" t="s">
        <v>23</v>
      </c>
      <c r="L505" s="5">
        <v>36.950000000000003</v>
      </c>
      <c r="M505" s="2" t="s">
        <v>1675</v>
      </c>
    </row>
    <row r="506" spans="1:13" x14ac:dyDescent="0.25">
      <c r="A506" s="5" t="str">
        <f>"6281057062652"</f>
        <v>6281057062652</v>
      </c>
      <c r="B506" s="2" t="s">
        <v>1676</v>
      </c>
      <c r="C506" s="2" t="s">
        <v>1677</v>
      </c>
      <c r="D506" s="5" t="s">
        <v>15</v>
      </c>
      <c r="E506" s="5" t="s">
        <v>16</v>
      </c>
      <c r="F506" s="5" t="s">
        <v>17</v>
      </c>
      <c r="G506" s="5" t="s">
        <v>18</v>
      </c>
      <c r="H506" s="3" t="s">
        <v>44</v>
      </c>
      <c r="I506" s="3"/>
      <c r="J506" s="3"/>
      <c r="K506" s="5" t="s">
        <v>23</v>
      </c>
      <c r="L506" s="5">
        <v>9.75</v>
      </c>
      <c r="M506" s="2" t="s">
        <v>1678</v>
      </c>
    </row>
    <row r="507" spans="1:13" x14ac:dyDescent="0.25">
      <c r="A507" s="5" t="str">
        <f>"5711953136566"</f>
        <v>5711953136566</v>
      </c>
      <c r="B507" s="2" t="s">
        <v>1679</v>
      </c>
      <c r="C507" s="2" t="s">
        <v>1680</v>
      </c>
      <c r="D507" s="5" t="s">
        <v>15</v>
      </c>
      <c r="E507" s="5" t="s">
        <v>16</v>
      </c>
      <c r="F507" s="5" t="s">
        <v>17</v>
      </c>
      <c r="G507" s="5" t="s">
        <v>18</v>
      </c>
      <c r="H507" s="3" t="s">
        <v>27</v>
      </c>
      <c r="I507" s="3"/>
      <c r="J507" s="3" t="s">
        <v>28</v>
      </c>
      <c r="K507" s="5" t="s">
        <v>23</v>
      </c>
      <c r="L507" s="5">
        <v>14.95</v>
      </c>
      <c r="M507" s="2" t="s">
        <v>1681</v>
      </c>
    </row>
    <row r="508" spans="1:13" x14ac:dyDescent="0.25">
      <c r="A508" s="5" t="str">
        <f>"6281057062676"</f>
        <v>6281057062676</v>
      </c>
      <c r="B508" s="2" t="s">
        <v>1682</v>
      </c>
      <c r="C508" s="2" t="s">
        <v>1683</v>
      </c>
      <c r="D508" s="5" t="s">
        <v>15</v>
      </c>
      <c r="E508" s="5" t="s">
        <v>16</v>
      </c>
      <c r="F508" s="5" t="s">
        <v>17</v>
      </c>
      <c r="G508" s="5" t="s">
        <v>18</v>
      </c>
      <c r="H508" s="3" t="s">
        <v>44</v>
      </c>
      <c r="I508" s="3"/>
      <c r="J508" s="3"/>
      <c r="K508" s="5" t="s">
        <v>23</v>
      </c>
      <c r="L508" s="5">
        <v>9.5</v>
      </c>
      <c r="M508" s="2" t="s">
        <v>1684</v>
      </c>
    </row>
    <row r="509" spans="1:13" x14ac:dyDescent="0.25">
      <c r="A509" s="5" t="str">
        <f>"6281022110821"</f>
        <v>6281022110821</v>
      </c>
      <c r="B509" s="2" t="s">
        <v>1685</v>
      </c>
      <c r="C509" s="2" t="s">
        <v>1686</v>
      </c>
      <c r="D509" s="5" t="s">
        <v>15</v>
      </c>
      <c r="E509" s="5" t="s">
        <v>16</v>
      </c>
      <c r="F509" s="5" t="s">
        <v>17</v>
      </c>
      <c r="G509" s="5" t="s">
        <v>18</v>
      </c>
      <c r="H509" s="3"/>
      <c r="I509" s="3"/>
      <c r="J509" s="3" t="s">
        <v>60</v>
      </c>
      <c r="K509" s="5" t="s">
        <v>23</v>
      </c>
      <c r="L509" s="5">
        <v>2</v>
      </c>
      <c r="M509" s="2" t="s">
        <v>1687</v>
      </c>
    </row>
    <row r="510" spans="1:13" x14ac:dyDescent="0.25">
      <c r="A510" s="5" t="str">
        <f>"6281057002627"</f>
        <v>6281057002627</v>
      </c>
      <c r="B510" s="2" t="s">
        <v>1688</v>
      </c>
      <c r="C510" s="2" t="s">
        <v>1689</v>
      </c>
      <c r="D510" s="5" t="s">
        <v>15</v>
      </c>
      <c r="E510" s="5" t="s">
        <v>16</v>
      </c>
      <c r="F510" s="5" t="s">
        <v>17</v>
      </c>
      <c r="G510" s="5" t="s">
        <v>18</v>
      </c>
      <c r="H510" s="3" t="s">
        <v>44</v>
      </c>
      <c r="I510" s="3"/>
      <c r="J510" s="3"/>
      <c r="K510" s="5" t="s">
        <v>23</v>
      </c>
      <c r="L510" s="5">
        <v>5</v>
      </c>
      <c r="M510" s="2" t="s">
        <v>1690</v>
      </c>
    </row>
    <row r="511" spans="1:13" x14ac:dyDescent="0.25">
      <c r="A511" s="5" t="str">
        <f>"2144800000001"</f>
        <v>2144800000001</v>
      </c>
      <c r="B511" s="2" t="s">
        <v>1691</v>
      </c>
      <c r="C511" s="2" t="s">
        <v>1692</v>
      </c>
      <c r="D511" s="5" t="s">
        <v>15</v>
      </c>
      <c r="E511" s="5" t="s">
        <v>16</v>
      </c>
      <c r="F511" s="5" t="s">
        <v>17</v>
      </c>
      <c r="G511" s="5" t="s">
        <v>18</v>
      </c>
      <c r="H511" s="3"/>
      <c r="I511" s="3"/>
      <c r="J511" s="3" t="s">
        <v>1693</v>
      </c>
      <c r="K511" s="5" t="s">
        <v>23</v>
      </c>
      <c r="L511" s="5">
        <v>24.95</v>
      </c>
      <c r="M511" s="2" t="s">
        <v>1694</v>
      </c>
    </row>
    <row r="512" spans="1:13" x14ac:dyDescent="0.25">
      <c r="A512" s="5" t="str">
        <f>"6297000670379"</f>
        <v>6297000670379</v>
      </c>
      <c r="B512" s="2" t="s">
        <v>1695</v>
      </c>
      <c r="C512" s="2" t="s">
        <v>1696</v>
      </c>
      <c r="D512" s="5" t="s">
        <v>15</v>
      </c>
      <c r="E512" s="5" t="s">
        <v>16</v>
      </c>
      <c r="F512" s="5" t="s">
        <v>17</v>
      </c>
      <c r="G512" s="5" t="s">
        <v>18</v>
      </c>
      <c r="H512" s="3" t="s">
        <v>539</v>
      </c>
      <c r="I512" s="3"/>
      <c r="J512" s="3" t="s">
        <v>126</v>
      </c>
      <c r="K512" s="5" t="s">
        <v>23</v>
      </c>
      <c r="L512" s="5">
        <v>18.95</v>
      </c>
      <c r="M512" s="2" t="s">
        <v>1697</v>
      </c>
    </row>
    <row r="513" spans="1:13" x14ac:dyDescent="0.25">
      <c r="A513" s="5" t="str">
        <f>"6281007038898"</f>
        <v>6281007038898</v>
      </c>
      <c r="B513" s="2" t="s">
        <v>1698</v>
      </c>
      <c r="C513" s="2" t="s">
        <v>1699</v>
      </c>
      <c r="D513" s="5" t="s">
        <v>15</v>
      </c>
      <c r="E513" s="5" t="s">
        <v>16</v>
      </c>
      <c r="F513" s="5" t="s">
        <v>17</v>
      </c>
      <c r="G513" s="5" t="s">
        <v>18</v>
      </c>
      <c r="H513" s="3" t="s">
        <v>32</v>
      </c>
      <c r="I513" s="3" t="s">
        <v>33</v>
      </c>
      <c r="J513" s="3" t="s">
        <v>561</v>
      </c>
      <c r="K513" s="5" t="s">
        <v>23</v>
      </c>
      <c r="L513" s="5">
        <v>1.5</v>
      </c>
      <c r="M513" s="2" t="s">
        <v>1700</v>
      </c>
    </row>
    <row r="514" spans="1:13" x14ac:dyDescent="0.25">
      <c r="A514" s="5" t="str">
        <f>"6281100505518"</f>
        <v>6281100505518</v>
      </c>
      <c r="B514" s="2" t="s">
        <v>1701</v>
      </c>
      <c r="C514" s="2" t="s">
        <v>1702</v>
      </c>
      <c r="D514" s="5" t="s">
        <v>15</v>
      </c>
      <c r="E514" s="5" t="s">
        <v>16</v>
      </c>
      <c r="F514" s="5" t="s">
        <v>17</v>
      </c>
      <c r="G514" s="5" t="s">
        <v>18</v>
      </c>
      <c r="H514" s="3" t="s">
        <v>466</v>
      </c>
      <c r="I514" s="3"/>
      <c r="J514" s="3"/>
      <c r="K514" s="5" t="s">
        <v>23</v>
      </c>
      <c r="L514" s="5">
        <v>13.5</v>
      </c>
      <c r="M514" s="2" t="s">
        <v>1703</v>
      </c>
    </row>
    <row r="515" spans="1:13" x14ac:dyDescent="0.25">
      <c r="A515" s="5" t="str">
        <f>"6281007036177"</f>
        <v>6281007036177</v>
      </c>
      <c r="B515" s="2" t="s">
        <v>1704</v>
      </c>
      <c r="C515" s="2" t="s">
        <v>1705</v>
      </c>
      <c r="D515" s="5" t="s">
        <v>15</v>
      </c>
      <c r="E515" s="5" t="s">
        <v>16</v>
      </c>
      <c r="F515" s="5" t="s">
        <v>17</v>
      </c>
      <c r="G515" s="5" t="s">
        <v>18</v>
      </c>
      <c r="H515" s="3" t="s">
        <v>32</v>
      </c>
      <c r="I515" s="3" t="s">
        <v>33</v>
      </c>
      <c r="J515" s="3" t="s">
        <v>1706</v>
      </c>
      <c r="K515" s="5" t="s">
        <v>23</v>
      </c>
      <c r="L515" s="5">
        <v>33</v>
      </c>
      <c r="M515" s="2" t="s">
        <v>1707</v>
      </c>
    </row>
    <row r="516" spans="1:13" x14ac:dyDescent="0.25">
      <c r="A516" s="5" t="str">
        <f>"6281039106138"</f>
        <v>6281039106138</v>
      </c>
      <c r="B516" s="2" t="s">
        <v>1708</v>
      </c>
      <c r="C516" s="2" t="s">
        <v>1709</v>
      </c>
      <c r="D516" s="5" t="s">
        <v>15</v>
      </c>
      <c r="E516" s="5" t="s">
        <v>16</v>
      </c>
      <c r="F516" s="5" t="s">
        <v>17</v>
      </c>
      <c r="G516" s="5" t="s">
        <v>18</v>
      </c>
      <c r="H516" s="3" t="s">
        <v>146</v>
      </c>
      <c r="I516" s="3"/>
      <c r="J516" s="3"/>
      <c r="K516" s="5" t="s">
        <v>23</v>
      </c>
      <c r="L516" s="5">
        <v>49.5</v>
      </c>
      <c r="M516" s="2" t="s">
        <v>1710</v>
      </c>
    </row>
    <row r="517" spans="1:13" x14ac:dyDescent="0.25">
      <c r="A517" s="5" t="str">
        <f>"6281039172119"</f>
        <v>6281039172119</v>
      </c>
      <c r="B517" s="2" t="s">
        <v>1711</v>
      </c>
      <c r="C517" s="2" t="s">
        <v>1712</v>
      </c>
      <c r="D517" s="5" t="s">
        <v>15</v>
      </c>
      <c r="E517" s="5" t="s">
        <v>16</v>
      </c>
      <c r="F517" s="5" t="s">
        <v>17</v>
      </c>
      <c r="G517" s="5" t="s">
        <v>18</v>
      </c>
      <c r="H517" s="3" t="s">
        <v>146</v>
      </c>
      <c r="I517" s="3"/>
      <c r="J517" s="3"/>
      <c r="K517" s="5" t="s">
        <v>23</v>
      </c>
      <c r="L517" s="5">
        <v>1.25</v>
      </c>
      <c r="M517" s="2" t="s">
        <v>1713</v>
      </c>
    </row>
    <row r="518" spans="1:13" x14ac:dyDescent="0.25">
      <c r="A518" s="5" t="str">
        <f>"6281048114476"</f>
        <v>6281048114476</v>
      </c>
      <c r="B518" s="2" t="s">
        <v>1714</v>
      </c>
      <c r="C518" s="2" t="s">
        <v>1715</v>
      </c>
      <c r="D518" s="5" t="s">
        <v>15</v>
      </c>
      <c r="E518" s="5" t="s">
        <v>16</v>
      </c>
      <c r="F518" s="5" t="s">
        <v>17</v>
      </c>
      <c r="G518" s="5" t="s">
        <v>18</v>
      </c>
      <c r="H518" s="3" t="s">
        <v>509</v>
      </c>
      <c r="I518" s="3"/>
      <c r="J518" s="3"/>
      <c r="K518" s="5" t="s">
        <v>23</v>
      </c>
      <c r="L518" s="5">
        <v>24.95</v>
      </c>
      <c r="M518" s="2" t="s">
        <v>1716</v>
      </c>
    </row>
    <row r="519" spans="1:13" x14ac:dyDescent="0.25">
      <c r="A519" s="5" t="str">
        <f>"2140541000003"</f>
        <v>2140541000003</v>
      </c>
      <c r="B519" s="2" t="s">
        <v>1717</v>
      </c>
      <c r="C519" s="2" t="s">
        <v>1718</v>
      </c>
      <c r="D519" s="5" t="s">
        <v>15</v>
      </c>
      <c r="E519" s="5" t="s">
        <v>16</v>
      </c>
      <c r="F519" s="5" t="s">
        <v>17</v>
      </c>
      <c r="G519" s="5" t="s">
        <v>18</v>
      </c>
      <c r="H519" s="3"/>
      <c r="I519" s="3"/>
      <c r="J519" s="3"/>
      <c r="K519" s="5" t="s">
        <v>19</v>
      </c>
      <c r="L519" s="5">
        <v>86.95</v>
      </c>
      <c r="M519" s="2" t="s">
        <v>1719</v>
      </c>
    </row>
    <row r="520" spans="1:13" x14ac:dyDescent="0.25">
      <c r="A520" s="5" t="str">
        <f>"6281057001798"</f>
        <v>6281057001798</v>
      </c>
      <c r="B520" s="2" t="s">
        <v>1720</v>
      </c>
      <c r="C520" s="2" t="s">
        <v>1721</v>
      </c>
      <c r="D520" s="5" t="s">
        <v>15</v>
      </c>
      <c r="E520" s="5" t="s">
        <v>16</v>
      </c>
      <c r="F520" s="5" t="s">
        <v>17</v>
      </c>
      <c r="G520" s="5" t="s">
        <v>18</v>
      </c>
      <c r="H520" s="3" t="s">
        <v>44</v>
      </c>
      <c r="I520" s="3"/>
      <c r="J520" s="3"/>
      <c r="K520" s="5" t="s">
        <v>23</v>
      </c>
      <c r="L520" s="5">
        <v>7.95</v>
      </c>
      <c r="M520" s="2" t="s">
        <v>1722</v>
      </c>
    </row>
    <row r="521" spans="1:13" x14ac:dyDescent="0.25">
      <c r="A521" s="5" t="str">
        <f>"6281057005611"</f>
        <v>6281057005611</v>
      </c>
      <c r="B521" s="2" t="s">
        <v>1723</v>
      </c>
      <c r="C521" s="2" t="s">
        <v>1724</v>
      </c>
      <c r="D521" s="5" t="s">
        <v>15</v>
      </c>
      <c r="E521" s="5" t="s">
        <v>16</v>
      </c>
      <c r="F521" s="5" t="s">
        <v>17</v>
      </c>
      <c r="G521" s="5" t="s">
        <v>18</v>
      </c>
      <c r="H521" s="3" t="s">
        <v>44</v>
      </c>
      <c r="I521" s="3"/>
      <c r="J521" s="3"/>
      <c r="K521" s="5" t="s">
        <v>23</v>
      </c>
      <c r="L521" s="5">
        <v>2</v>
      </c>
      <c r="M521" s="2" t="s">
        <v>1725</v>
      </c>
    </row>
    <row r="522" spans="1:13" x14ac:dyDescent="0.25">
      <c r="A522" s="5" t="str">
        <f>"6281022103816"</f>
        <v>6281022103816</v>
      </c>
      <c r="B522" s="2" t="s">
        <v>1726</v>
      </c>
      <c r="C522" s="2" t="s">
        <v>1727</v>
      </c>
      <c r="D522" s="5" t="s">
        <v>15</v>
      </c>
      <c r="E522" s="5" t="s">
        <v>16</v>
      </c>
      <c r="F522" s="5" t="s">
        <v>17</v>
      </c>
      <c r="G522" s="5" t="s">
        <v>18</v>
      </c>
      <c r="H522" s="3"/>
      <c r="I522" s="3"/>
      <c r="J522" s="3" t="s">
        <v>1728</v>
      </c>
      <c r="K522" s="5" t="s">
        <v>23</v>
      </c>
      <c r="L522" s="5">
        <v>2</v>
      </c>
      <c r="M522" s="2" t="s">
        <v>1729</v>
      </c>
    </row>
    <row r="523" spans="1:13" x14ac:dyDescent="0.25">
      <c r="A523" s="5" t="str">
        <f>"6287007762344"</f>
        <v>6287007762344</v>
      </c>
      <c r="B523" s="2" t="s">
        <v>1730</v>
      </c>
      <c r="C523" s="2" t="s">
        <v>1731</v>
      </c>
      <c r="D523" s="5" t="s">
        <v>15</v>
      </c>
      <c r="E523" s="5" t="s">
        <v>16</v>
      </c>
      <c r="F523" s="5" t="s">
        <v>17</v>
      </c>
      <c r="G523" s="5" t="s">
        <v>18</v>
      </c>
      <c r="H523" s="3" t="s">
        <v>1472</v>
      </c>
      <c r="I523" s="3"/>
      <c r="J523" s="3" t="s">
        <v>371</v>
      </c>
      <c r="K523" s="5" t="s">
        <v>23</v>
      </c>
      <c r="L523" s="5">
        <v>36.950000000000003</v>
      </c>
      <c r="M523" s="2" t="s">
        <v>1732</v>
      </c>
    </row>
    <row r="524" spans="1:13" x14ac:dyDescent="0.25">
      <c r="A524" s="5" t="str">
        <f>"6281024010402"</f>
        <v>6281024010402</v>
      </c>
      <c r="B524" s="2" t="s">
        <v>1733</v>
      </c>
      <c r="C524" s="2" t="s">
        <v>1734</v>
      </c>
      <c r="D524" s="5" t="s">
        <v>15</v>
      </c>
      <c r="E524" s="5" t="s">
        <v>16</v>
      </c>
      <c r="F524" s="5" t="s">
        <v>17</v>
      </c>
      <c r="G524" s="5" t="s">
        <v>18</v>
      </c>
      <c r="H524" s="3" t="s">
        <v>979</v>
      </c>
      <c r="I524" s="3"/>
      <c r="J524" s="3"/>
      <c r="K524" s="5" t="s">
        <v>23</v>
      </c>
      <c r="L524" s="5">
        <v>21.95</v>
      </c>
      <c r="M524" s="2" t="s">
        <v>1735</v>
      </c>
    </row>
    <row r="525" spans="1:13" x14ac:dyDescent="0.25">
      <c r="A525" s="5" t="str">
        <f>"2144428000001"</f>
        <v>2144428000001</v>
      </c>
      <c r="B525" s="2" t="s">
        <v>1736</v>
      </c>
      <c r="C525" s="2" t="s">
        <v>1737</v>
      </c>
      <c r="D525" s="5" t="s">
        <v>15</v>
      </c>
      <c r="E525" s="5" t="s">
        <v>16</v>
      </c>
      <c r="F525" s="5" t="s">
        <v>17</v>
      </c>
      <c r="G525" s="5" t="s">
        <v>18</v>
      </c>
      <c r="H525" s="3"/>
      <c r="I525" s="3"/>
      <c r="J525" s="3"/>
      <c r="K525" s="5" t="s">
        <v>19</v>
      </c>
      <c r="L525" s="5">
        <v>39.950000000000003</v>
      </c>
      <c r="M525" s="2" t="s">
        <v>1738</v>
      </c>
    </row>
    <row r="526" spans="1:13" x14ac:dyDescent="0.25">
      <c r="A526" s="5" t="str">
        <f>"6271002190219"</f>
        <v>6271002190219</v>
      </c>
      <c r="B526" s="2" t="s">
        <v>1739</v>
      </c>
      <c r="C526" s="2" t="s">
        <v>1740</v>
      </c>
      <c r="D526" s="5" t="s">
        <v>15</v>
      </c>
      <c r="E526" s="5" t="s">
        <v>16</v>
      </c>
      <c r="F526" s="5" t="s">
        <v>17</v>
      </c>
      <c r="G526" s="5" t="s">
        <v>18</v>
      </c>
      <c r="H526" s="3" t="s">
        <v>100</v>
      </c>
      <c r="I526" s="3" t="s">
        <v>1741</v>
      </c>
      <c r="J526" s="3" t="s">
        <v>60</v>
      </c>
      <c r="K526" s="5" t="s">
        <v>23</v>
      </c>
      <c r="L526" s="5">
        <v>1.5</v>
      </c>
      <c r="M526" s="2" t="s">
        <v>1742</v>
      </c>
    </row>
    <row r="527" spans="1:13" x14ac:dyDescent="0.25">
      <c r="A527" s="5" t="str">
        <f>"6281007046053"</f>
        <v>6281007046053</v>
      </c>
      <c r="B527" s="2" t="s">
        <v>1743</v>
      </c>
      <c r="C527" s="2" t="s">
        <v>1744</v>
      </c>
      <c r="D527" s="5" t="s">
        <v>15</v>
      </c>
      <c r="E527" s="5" t="s">
        <v>16</v>
      </c>
      <c r="F527" s="5" t="s">
        <v>17</v>
      </c>
      <c r="G527" s="5" t="s">
        <v>18</v>
      </c>
      <c r="H527" s="3" t="s">
        <v>32</v>
      </c>
      <c r="I527" s="3" t="s">
        <v>33</v>
      </c>
      <c r="J527" s="3" t="s">
        <v>1522</v>
      </c>
      <c r="K527" s="5" t="s">
        <v>23</v>
      </c>
      <c r="L527" s="5">
        <v>1.5</v>
      </c>
      <c r="M527" s="2" t="s">
        <v>1745</v>
      </c>
    </row>
    <row r="528" spans="1:13" x14ac:dyDescent="0.25">
      <c r="A528" s="5" t="str">
        <f>"6281007063265"</f>
        <v>6281007063265</v>
      </c>
      <c r="B528" s="2" t="s">
        <v>1746</v>
      </c>
      <c r="C528" s="2" t="s">
        <v>1747</v>
      </c>
      <c r="D528" s="5" t="s">
        <v>15</v>
      </c>
      <c r="E528" s="5" t="s">
        <v>16</v>
      </c>
      <c r="F528" s="5" t="s">
        <v>17</v>
      </c>
      <c r="G528" s="5" t="s">
        <v>18</v>
      </c>
      <c r="H528" s="3" t="s">
        <v>32</v>
      </c>
      <c r="I528" s="3"/>
      <c r="J528" s="3"/>
      <c r="K528" s="5" t="s">
        <v>23</v>
      </c>
      <c r="L528" s="5">
        <v>20.5</v>
      </c>
      <c r="M528" s="2" t="s">
        <v>1748</v>
      </c>
    </row>
    <row r="529" spans="1:13" x14ac:dyDescent="0.25">
      <c r="A529" s="5" t="str">
        <f>"6281007060356"</f>
        <v>6281007060356</v>
      </c>
      <c r="B529" s="2" t="s">
        <v>1749</v>
      </c>
      <c r="C529" s="2" t="s">
        <v>1750</v>
      </c>
      <c r="D529" s="5" t="s">
        <v>15</v>
      </c>
      <c r="E529" s="5" t="s">
        <v>16</v>
      </c>
      <c r="F529" s="5" t="s">
        <v>17</v>
      </c>
      <c r="G529" s="5" t="s">
        <v>18</v>
      </c>
      <c r="H529" s="3" t="s">
        <v>32</v>
      </c>
      <c r="I529" s="3" t="s">
        <v>33</v>
      </c>
      <c r="J529" s="3" t="s">
        <v>1128</v>
      </c>
      <c r="K529" s="5" t="s">
        <v>23</v>
      </c>
      <c r="L529" s="5">
        <v>2.5</v>
      </c>
      <c r="M529" s="2" t="s">
        <v>1751</v>
      </c>
    </row>
    <row r="530" spans="1:13" x14ac:dyDescent="0.25">
      <c r="A530" s="5" t="str">
        <f>"6281039171358"</f>
        <v>6281039171358</v>
      </c>
      <c r="B530" s="2" t="s">
        <v>1752</v>
      </c>
      <c r="C530" s="2" t="s">
        <v>1753</v>
      </c>
      <c r="D530" s="5" t="s">
        <v>15</v>
      </c>
      <c r="E530" s="5" t="s">
        <v>16</v>
      </c>
      <c r="F530" s="5" t="s">
        <v>17</v>
      </c>
      <c r="G530" s="5" t="s">
        <v>18</v>
      </c>
      <c r="H530" s="3" t="s">
        <v>146</v>
      </c>
      <c r="I530" s="3"/>
      <c r="J530" s="3" t="s">
        <v>1754</v>
      </c>
      <c r="K530" s="5" t="s">
        <v>23</v>
      </c>
      <c r="L530" s="5">
        <v>34</v>
      </c>
      <c r="M530" s="2" t="s">
        <v>1755</v>
      </c>
    </row>
    <row r="531" spans="1:13" x14ac:dyDescent="0.25">
      <c r="A531" s="5" t="str">
        <f>"5711953169908"</f>
        <v>5711953169908</v>
      </c>
      <c r="B531" s="2" t="s">
        <v>1756</v>
      </c>
      <c r="C531" s="2" t="s">
        <v>1757</v>
      </c>
      <c r="D531" s="5" t="s">
        <v>15</v>
      </c>
      <c r="E531" s="5" t="s">
        <v>16</v>
      </c>
      <c r="F531" s="5" t="s">
        <v>17</v>
      </c>
      <c r="G531" s="5" t="s">
        <v>18</v>
      </c>
      <c r="H531" s="3" t="s">
        <v>27</v>
      </c>
      <c r="I531" s="3"/>
      <c r="J531" s="3" t="s">
        <v>109</v>
      </c>
      <c r="K531" s="5" t="s">
        <v>23</v>
      </c>
      <c r="L531" s="5">
        <v>32</v>
      </c>
      <c r="M531" s="2" t="s">
        <v>1758</v>
      </c>
    </row>
    <row r="532" spans="1:13" x14ac:dyDescent="0.25">
      <c r="A532" s="5" t="str">
        <f>"6281018423980"</f>
        <v>6281018423980</v>
      </c>
      <c r="B532" s="2" t="s">
        <v>1759</v>
      </c>
      <c r="C532" s="2" t="s">
        <v>1760</v>
      </c>
      <c r="D532" s="5" t="s">
        <v>15</v>
      </c>
      <c r="E532" s="5" t="s">
        <v>16</v>
      </c>
      <c r="F532" s="5" t="s">
        <v>17</v>
      </c>
      <c r="G532" s="5" t="s">
        <v>18</v>
      </c>
      <c r="H532" s="3" t="s">
        <v>67</v>
      </c>
      <c r="I532" s="3"/>
      <c r="J532" s="3" t="s">
        <v>28</v>
      </c>
      <c r="K532" s="5" t="s">
        <v>23</v>
      </c>
      <c r="L532" s="5">
        <v>6.95</v>
      </c>
      <c r="M532" s="2" t="s">
        <v>1761</v>
      </c>
    </row>
    <row r="533" spans="1:13" x14ac:dyDescent="0.25">
      <c r="A533" s="5" t="str">
        <f>"6281039105018"</f>
        <v>6281039105018</v>
      </c>
      <c r="B533" s="2" t="s">
        <v>1762</v>
      </c>
      <c r="C533" s="2" t="s">
        <v>1763</v>
      </c>
      <c r="D533" s="5" t="s">
        <v>15</v>
      </c>
      <c r="E533" s="5" t="s">
        <v>16</v>
      </c>
      <c r="F533" s="5" t="s">
        <v>17</v>
      </c>
      <c r="G533" s="5" t="s">
        <v>18</v>
      </c>
      <c r="H533" s="3" t="s">
        <v>146</v>
      </c>
      <c r="I533" s="3"/>
      <c r="J533" s="3"/>
      <c r="K533" s="5" t="s">
        <v>23</v>
      </c>
      <c r="L533" s="5">
        <v>2</v>
      </c>
      <c r="M533" s="2" t="s">
        <v>1764</v>
      </c>
    </row>
    <row r="534" spans="1:13" x14ac:dyDescent="0.25">
      <c r="A534" s="5" t="str">
        <f>"6281057002689"</f>
        <v>6281057002689</v>
      </c>
      <c r="B534" s="2" t="s">
        <v>1765</v>
      </c>
      <c r="C534" s="2" t="s">
        <v>1766</v>
      </c>
      <c r="D534" s="5" t="s">
        <v>15</v>
      </c>
      <c r="E534" s="5" t="s">
        <v>16</v>
      </c>
      <c r="F534" s="5" t="s">
        <v>17</v>
      </c>
      <c r="G534" s="5" t="s">
        <v>18</v>
      </c>
      <c r="H534" s="3" t="s">
        <v>44</v>
      </c>
      <c r="I534" s="3"/>
      <c r="J534" s="3"/>
      <c r="K534" s="5" t="s">
        <v>23</v>
      </c>
      <c r="L534" s="5">
        <v>5</v>
      </c>
      <c r="M534" s="2" t="s">
        <v>1767</v>
      </c>
    </row>
    <row r="535" spans="1:13" x14ac:dyDescent="0.25">
      <c r="A535" s="5" t="str">
        <f>"8719200267855"</f>
        <v>8719200267855</v>
      </c>
      <c r="B535" s="2" t="s">
        <v>1768</v>
      </c>
      <c r="C535" s="2" t="s">
        <v>1769</v>
      </c>
      <c r="D535" s="5" t="s">
        <v>15</v>
      </c>
      <c r="E535" s="5" t="s">
        <v>16</v>
      </c>
      <c r="F535" s="5" t="s">
        <v>17</v>
      </c>
      <c r="G535" s="5" t="s">
        <v>18</v>
      </c>
      <c r="H535" s="3" t="s">
        <v>1770</v>
      </c>
      <c r="I535" s="3"/>
      <c r="J535" s="3"/>
      <c r="K535" s="5" t="s">
        <v>23</v>
      </c>
      <c r="L535" s="5">
        <v>30.75</v>
      </c>
      <c r="M535" s="2" t="s">
        <v>1771</v>
      </c>
    </row>
    <row r="536" spans="1:13" x14ac:dyDescent="0.25">
      <c r="A536" s="5" t="str">
        <f>"6281024014974"</f>
        <v>6281024014974</v>
      </c>
      <c r="B536" s="2" t="s">
        <v>1772</v>
      </c>
      <c r="C536" s="2" t="s">
        <v>1773</v>
      </c>
      <c r="D536" s="5" t="s">
        <v>15</v>
      </c>
      <c r="E536" s="5" t="s">
        <v>16</v>
      </c>
      <c r="F536" s="5" t="s">
        <v>17</v>
      </c>
      <c r="G536" s="5" t="s">
        <v>18</v>
      </c>
      <c r="H536" s="3" t="s">
        <v>979</v>
      </c>
      <c r="I536" s="3"/>
      <c r="J536" s="3"/>
      <c r="K536" s="5" t="s">
        <v>23</v>
      </c>
      <c r="L536" s="5">
        <v>23.95</v>
      </c>
      <c r="M536" s="2" t="s">
        <v>1774</v>
      </c>
    </row>
    <row r="537" spans="1:13" x14ac:dyDescent="0.25">
      <c r="A537" s="5" t="str">
        <f>"6281007032520"</f>
        <v>6281007032520</v>
      </c>
      <c r="B537" s="2" t="s">
        <v>1775</v>
      </c>
      <c r="C537" s="2" t="s">
        <v>1776</v>
      </c>
      <c r="D537" s="5" t="s">
        <v>15</v>
      </c>
      <c r="E537" s="5" t="s">
        <v>16</v>
      </c>
      <c r="F537" s="5" t="s">
        <v>17</v>
      </c>
      <c r="G537" s="5" t="s">
        <v>18</v>
      </c>
      <c r="H537" s="3" t="s">
        <v>32</v>
      </c>
      <c r="I537" s="3" t="s">
        <v>33</v>
      </c>
      <c r="J537" s="3" t="s">
        <v>1285</v>
      </c>
      <c r="K537" s="5" t="s">
        <v>23</v>
      </c>
      <c r="L537" s="5">
        <v>3.5</v>
      </c>
      <c r="M537" s="2" t="s">
        <v>1777</v>
      </c>
    </row>
    <row r="538" spans="1:13" x14ac:dyDescent="0.25">
      <c r="A538" s="5" t="str">
        <f>"6281024110690"</f>
        <v>6281024110690</v>
      </c>
      <c r="B538" s="2" t="s">
        <v>1778</v>
      </c>
      <c r="C538" s="2" t="s">
        <v>1779</v>
      </c>
      <c r="D538" s="5" t="s">
        <v>15</v>
      </c>
      <c r="E538" s="5" t="s">
        <v>16</v>
      </c>
      <c r="F538" s="5" t="s">
        <v>17</v>
      </c>
      <c r="G538" s="5" t="s">
        <v>18</v>
      </c>
      <c r="H538" s="3" t="s">
        <v>107</v>
      </c>
      <c r="I538" s="3" t="s">
        <v>108</v>
      </c>
      <c r="J538" s="3" t="s">
        <v>28</v>
      </c>
      <c r="K538" s="5" t="s">
        <v>23</v>
      </c>
      <c r="L538" s="5">
        <v>13</v>
      </c>
      <c r="M538" s="2" t="s">
        <v>1780</v>
      </c>
    </row>
    <row r="539" spans="1:13" x14ac:dyDescent="0.25">
      <c r="A539" s="5" t="str">
        <f>"6281051005754"</f>
        <v>6281051005754</v>
      </c>
      <c r="B539" s="2" t="s">
        <v>1781</v>
      </c>
      <c r="C539" s="2" t="s">
        <v>1782</v>
      </c>
      <c r="D539" s="5" t="s">
        <v>15</v>
      </c>
      <c r="E539" s="5" t="s">
        <v>16</v>
      </c>
      <c r="F539" s="5" t="s">
        <v>17</v>
      </c>
      <c r="G539" s="5" t="s">
        <v>18</v>
      </c>
      <c r="H539" s="3" t="s">
        <v>83</v>
      </c>
      <c r="I539" s="3"/>
      <c r="J539" s="3"/>
      <c r="K539" s="5" t="s">
        <v>23</v>
      </c>
      <c r="L539" s="5">
        <v>13.95</v>
      </c>
      <c r="M539" s="2" t="s">
        <v>1783</v>
      </c>
    </row>
    <row r="540" spans="1:13" x14ac:dyDescent="0.25">
      <c r="A540" s="5" t="str">
        <f>"6281039173253"</f>
        <v>6281039173253</v>
      </c>
      <c r="B540" s="2" t="s">
        <v>1784</v>
      </c>
      <c r="C540" s="2" t="s">
        <v>1785</v>
      </c>
      <c r="D540" s="5" t="s">
        <v>15</v>
      </c>
      <c r="E540" s="5" t="s">
        <v>16</v>
      </c>
      <c r="F540" s="5" t="s">
        <v>17</v>
      </c>
      <c r="G540" s="5" t="s">
        <v>18</v>
      </c>
      <c r="H540" s="3" t="s">
        <v>146</v>
      </c>
      <c r="I540" s="3"/>
      <c r="J540" s="3"/>
      <c r="K540" s="5" t="s">
        <v>23</v>
      </c>
      <c r="L540" s="5">
        <v>31</v>
      </c>
      <c r="M540" s="2" t="s">
        <v>1786</v>
      </c>
    </row>
    <row r="541" spans="1:13" x14ac:dyDescent="0.25">
      <c r="A541" s="5" t="str">
        <f>"6281018110712"</f>
        <v>6281018110712</v>
      </c>
      <c r="B541" s="2" t="s">
        <v>1787</v>
      </c>
      <c r="C541" s="2" t="s">
        <v>1788</v>
      </c>
      <c r="D541" s="5" t="s">
        <v>15</v>
      </c>
      <c r="E541" s="5" t="s">
        <v>16</v>
      </c>
      <c r="F541" s="5" t="s">
        <v>17</v>
      </c>
      <c r="G541" s="5" t="s">
        <v>18</v>
      </c>
      <c r="H541" s="3" t="s">
        <v>67</v>
      </c>
      <c r="I541" s="3"/>
      <c r="J541" s="3"/>
      <c r="K541" s="5" t="s">
        <v>23</v>
      </c>
      <c r="L541" s="5">
        <v>9.5</v>
      </c>
      <c r="M541" s="2" t="s">
        <v>1789</v>
      </c>
    </row>
    <row r="542" spans="1:13" x14ac:dyDescent="0.25">
      <c r="A542" s="5" t="str">
        <f>"6281022110616"</f>
        <v>6281022110616</v>
      </c>
      <c r="B542" s="2" t="s">
        <v>1790</v>
      </c>
      <c r="C542" s="2" t="s">
        <v>1791</v>
      </c>
      <c r="D542" s="5" t="s">
        <v>15</v>
      </c>
      <c r="E542" s="5" t="s">
        <v>16</v>
      </c>
      <c r="F542" s="5" t="s">
        <v>17</v>
      </c>
      <c r="G542" s="5" t="s">
        <v>18</v>
      </c>
      <c r="H542" s="3"/>
      <c r="I542" s="3"/>
      <c r="J542" s="3"/>
      <c r="K542" s="5" t="s">
        <v>23</v>
      </c>
      <c r="L542" s="5">
        <v>4.95</v>
      </c>
      <c r="M542" s="2" t="s">
        <v>1792</v>
      </c>
    </row>
    <row r="543" spans="1:13" x14ac:dyDescent="0.25">
      <c r="A543" s="5" t="str">
        <f>"2140317000008"</f>
        <v>2140317000008</v>
      </c>
      <c r="B543" s="2" t="s">
        <v>1793</v>
      </c>
      <c r="C543" s="2" t="s">
        <v>1794</v>
      </c>
      <c r="D543" s="5" t="s">
        <v>15</v>
      </c>
      <c r="E543" s="5" t="s">
        <v>16</v>
      </c>
      <c r="F543" s="5" t="s">
        <v>17</v>
      </c>
      <c r="G543" s="5" t="s">
        <v>18</v>
      </c>
      <c r="H543" s="3"/>
      <c r="I543" s="3"/>
      <c r="J543" s="3"/>
      <c r="K543" s="5" t="s">
        <v>19</v>
      </c>
      <c r="L543" s="5">
        <v>32.950000000000003</v>
      </c>
      <c r="M543" s="2" t="s">
        <v>1795</v>
      </c>
    </row>
    <row r="544" spans="1:13" x14ac:dyDescent="0.25">
      <c r="A544" s="5" t="str">
        <f>"8022284002008"</f>
        <v>8022284002008</v>
      </c>
      <c r="B544" s="2" t="s">
        <v>1796</v>
      </c>
      <c r="C544" s="2" t="s">
        <v>1797</v>
      </c>
      <c r="D544" s="5" t="s">
        <v>15</v>
      </c>
      <c r="E544" s="5" t="s">
        <v>16</v>
      </c>
      <c r="F544" s="5" t="s">
        <v>17</v>
      </c>
      <c r="G544" s="5" t="s">
        <v>18</v>
      </c>
      <c r="H544" s="3" t="s">
        <v>1798</v>
      </c>
      <c r="I544" s="3"/>
      <c r="J544" s="3" t="s">
        <v>28</v>
      </c>
      <c r="K544" s="5" t="s">
        <v>23</v>
      </c>
      <c r="L544" s="5">
        <v>28</v>
      </c>
      <c r="M544" s="2" t="s">
        <v>1799</v>
      </c>
    </row>
    <row r="545" spans="1:13" x14ac:dyDescent="0.25">
      <c r="A545" s="5" t="str">
        <f>"2143857000002"</f>
        <v>2143857000002</v>
      </c>
      <c r="B545" s="2" t="s">
        <v>1800</v>
      </c>
      <c r="C545" s="2" t="s">
        <v>1801</v>
      </c>
      <c r="D545" s="5" t="s">
        <v>15</v>
      </c>
      <c r="E545" s="5" t="s">
        <v>16</v>
      </c>
      <c r="F545" s="5" t="s">
        <v>17</v>
      </c>
      <c r="G545" s="5" t="s">
        <v>18</v>
      </c>
      <c r="H545" s="3"/>
      <c r="I545" s="3"/>
      <c r="J545" s="3"/>
      <c r="K545" s="5" t="s">
        <v>19</v>
      </c>
      <c r="L545" s="5">
        <v>46.95</v>
      </c>
      <c r="M545" s="2" t="s">
        <v>1802</v>
      </c>
    </row>
    <row r="546" spans="1:13" x14ac:dyDescent="0.25">
      <c r="A546" s="5" t="str">
        <f>"3228022930205"</f>
        <v>3228022930205</v>
      </c>
      <c r="B546" s="2" t="s">
        <v>1803</v>
      </c>
      <c r="C546" s="2" t="s">
        <v>1804</v>
      </c>
      <c r="D546" s="5" t="s">
        <v>15</v>
      </c>
      <c r="E546" s="5" t="s">
        <v>16</v>
      </c>
      <c r="F546" s="5" t="s">
        <v>17</v>
      </c>
      <c r="G546" s="5" t="s">
        <v>18</v>
      </c>
      <c r="H546" s="3" t="s">
        <v>107</v>
      </c>
      <c r="I546" s="3" t="s">
        <v>108</v>
      </c>
      <c r="J546" s="3" t="s">
        <v>1805</v>
      </c>
      <c r="K546" s="5" t="s">
        <v>23</v>
      </c>
      <c r="L546" s="5">
        <v>23.25</v>
      </c>
      <c r="M546" s="2" t="s">
        <v>1806</v>
      </c>
    </row>
    <row r="547" spans="1:13" x14ac:dyDescent="0.25">
      <c r="A547" s="5" t="str">
        <f>"6281024012512"</f>
        <v>6281024012512</v>
      </c>
      <c r="B547" s="2" t="s">
        <v>1807</v>
      </c>
      <c r="C547" s="2" t="s">
        <v>1808</v>
      </c>
      <c r="D547" s="5" t="s">
        <v>15</v>
      </c>
      <c r="E547" s="5" t="s">
        <v>16</v>
      </c>
      <c r="F547" s="5" t="s">
        <v>17</v>
      </c>
      <c r="G547" s="5" t="s">
        <v>18</v>
      </c>
      <c r="H547" s="3" t="s">
        <v>979</v>
      </c>
      <c r="I547" s="3"/>
      <c r="J547" s="3" t="s">
        <v>113</v>
      </c>
      <c r="K547" s="5" t="s">
        <v>23</v>
      </c>
      <c r="L547" s="5">
        <v>41.95</v>
      </c>
      <c r="M547" s="2" t="s">
        <v>1809</v>
      </c>
    </row>
    <row r="548" spans="1:13" x14ac:dyDescent="0.25">
      <c r="A548" s="5" t="str">
        <f>"6281018127048"</f>
        <v>6281018127048</v>
      </c>
      <c r="B548" s="2" t="s">
        <v>1810</v>
      </c>
      <c r="C548" s="2" t="s">
        <v>1811</v>
      </c>
      <c r="D548" s="5" t="s">
        <v>15</v>
      </c>
      <c r="E548" s="5" t="s">
        <v>16</v>
      </c>
      <c r="F548" s="5" t="s">
        <v>17</v>
      </c>
      <c r="G548" s="5" t="s">
        <v>18</v>
      </c>
      <c r="H548" s="3" t="s">
        <v>67</v>
      </c>
      <c r="I548" s="3"/>
      <c r="J548" s="3" t="s">
        <v>587</v>
      </c>
      <c r="K548" s="5" t="s">
        <v>23</v>
      </c>
      <c r="L548" s="5">
        <v>5.95</v>
      </c>
      <c r="M548" s="2" t="s">
        <v>1812</v>
      </c>
    </row>
    <row r="549" spans="1:13" x14ac:dyDescent="0.25">
      <c r="A549" s="5" t="str">
        <f>"2142510000007"</f>
        <v>2142510000007</v>
      </c>
      <c r="B549" s="2" t="s">
        <v>1813</v>
      </c>
      <c r="C549" s="2" t="s">
        <v>1814</v>
      </c>
      <c r="D549" s="5" t="s">
        <v>15</v>
      </c>
      <c r="E549" s="5" t="s">
        <v>16</v>
      </c>
      <c r="F549" s="5" t="s">
        <v>17</v>
      </c>
      <c r="G549" s="5" t="s">
        <v>18</v>
      </c>
      <c r="H549" s="3"/>
      <c r="I549" s="3"/>
      <c r="J549" s="3" t="s">
        <v>1815</v>
      </c>
      <c r="K549" s="5" t="s">
        <v>19</v>
      </c>
      <c r="L549" s="5">
        <v>29.95</v>
      </c>
      <c r="M549" s="2" t="s">
        <v>1816</v>
      </c>
    </row>
    <row r="550" spans="1:13" x14ac:dyDescent="0.25">
      <c r="A550" s="5" t="str">
        <f>"3228022970171"</f>
        <v>3228022970171</v>
      </c>
      <c r="B550" s="2" t="s">
        <v>1817</v>
      </c>
      <c r="C550" s="2" t="s">
        <v>1818</v>
      </c>
      <c r="D550" s="5" t="s">
        <v>15</v>
      </c>
      <c r="E550" s="5" t="s">
        <v>16</v>
      </c>
      <c r="F550" s="5" t="s">
        <v>17</v>
      </c>
      <c r="G550" s="5" t="s">
        <v>18</v>
      </c>
      <c r="H550" s="3" t="s">
        <v>107</v>
      </c>
      <c r="I550" s="3" t="s">
        <v>108</v>
      </c>
      <c r="J550" s="3" t="s">
        <v>28</v>
      </c>
      <c r="K550" s="5" t="s">
        <v>23</v>
      </c>
      <c r="L550" s="5">
        <v>18.95</v>
      </c>
      <c r="M550" s="2" t="s">
        <v>1819</v>
      </c>
    </row>
    <row r="551" spans="1:13" x14ac:dyDescent="0.25">
      <c r="A551" s="5" t="str">
        <f>"6281022151244"</f>
        <v>6281022151244</v>
      </c>
      <c r="B551" s="2" t="s">
        <v>1820</v>
      </c>
      <c r="C551" s="2" t="s">
        <v>1821</v>
      </c>
      <c r="D551" s="5" t="s">
        <v>15</v>
      </c>
      <c r="E551" s="5" t="s">
        <v>16</v>
      </c>
      <c r="F551" s="5" t="s">
        <v>17</v>
      </c>
      <c r="G551" s="5" t="s">
        <v>18</v>
      </c>
      <c r="H551" s="3"/>
      <c r="I551" s="3"/>
      <c r="J551" s="3" t="s">
        <v>1822</v>
      </c>
      <c r="K551" s="5" t="s">
        <v>23</v>
      </c>
      <c r="L551" s="5">
        <v>1.55</v>
      </c>
      <c r="M551" s="2" t="s">
        <v>1823</v>
      </c>
    </row>
    <row r="552" spans="1:13" x14ac:dyDescent="0.25">
      <c r="A552" s="5" t="str">
        <f>"6281018181965"</f>
        <v>6281018181965</v>
      </c>
      <c r="B552" s="2" t="s">
        <v>1824</v>
      </c>
      <c r="C552" s="2" t="s">
        <v>1825</v>
      </c>
      <c r="D552" s="5" t="s">
        <v>15</v>
      </c>
      <c r="E552" s="5" t="s">
        <v>16</v>
      </c>
      <c r="F552" s="5" t="s">
        <v>17</v>
      </c>
      <c r="G552" s="5" t="s">
        <v>18</v>
      </c>
      <c r="H552" s="3" t="s">
        <v>67</v>
      </c>
      <c r="I552" s="3"/>
      <c r="J552" s="3"/>
      <c r="K552" s="5" t="s">
        <v>23</v>
      </c>
      <c r="L552" s="5">
        <v>7.5</v>
      </c>
      <c r="M552" s="2" t="s">
        <v>1826</v>
      </c>
    </row>
    <row r="553" spans="1:13" x14ac:dyDescent="0.25">
      <c r="A553" s="5" t="str">
        <f>"6295199281697"</f>
        <v>6295199281697</v>
      </c>
      <c r="B553" s="2" t="s">
        <v>1827</v>
      </c>
      <c r="C553" s="2" t="s">
        <v>1828</v>
      </c>
      <c r="D553" s="5" t="s">
        <v>15</v>
      </c>
      <c r="E553" s="5" t="s">
        <v>16</v>
      </c>
      <c r="F553" s="5" t="s">
        <v>17</v>
      </c>
      <c r="G553" s="5" t="s">
        <v>18</v>
      </c>
      <c r="H553" s="3"/>
      <c r="I553" s="3"/>
      <c r="J553" s="3" t="s">
        <v>109</v>
      </c>
      <c r="K553" s="5" t="s">
        <v>23</v>
      </c>
      <c r="L553" s="5">
        <v>66.5</v>
      </c>
      <c r="M553" s="2" t="s">
        <v>1829</v>
      </c>
    </row>
    <row r="554" spans="1:13" x14ac:dyDescent="0.25">
      <c r="A554" s="5" t="str">
        <f>"5760466754309"</f>
        <v>5760466754309</v>
      </c>
      <c r="B554" s="2" t="s">
        <v>1830</v>
      </c>
      <c r="C554" s="2" t="s">
        <v>1831</v>
      </c>
      <c r="D554" s="5" t="s">
        <v>15</v>
      </c>
      <c r="E554" s="5" t="s">
        <v>16</v>
      </c>
      <c r="F554" s="5" t="s">
        <v>17</v>
      </c>
      <c r="G554" s="5" t="s">
        <v>18</v>
      </c>
      <c r="H554" s="3" t="s">
        <v>509</v>
      </c>
      <c r="I554" s="3" t="s">
        <v>174</v>
      </c>
      <c r="J554" s="3" t="s">
        <v>28</v>
      </c>
      <c r="K554" s="5" t="s">
        <v>23</v>
      </c>
      <c r="L554" s="5">
        <v>6.5</v>
      </c>
      <c r="M554" s="2" t="s">
        <v>1832</v>
      </c>
    </row>
    <row r="555" spans="1:13" x14ac:dyDescent="0.25">
      <c r="A555" s="5" t="str">
        <f>"6281073160066"</f>
        <v>6281073160066</v>
      </c>
      <c r="B555" s="2" t="s">
        <v>1833</v>
      </c>
      <c r="C555" s="2" t="s">
        <v>1834</v>
      </c>
      <c r="D555" s="5" t="s">
        <v>15</v>
      </c>
      <c r="E555" s="5" t="s">
        <v>16</v>
      </c>
      <c r="F555" s="5" t="s">
        <v>17</v>
      </c>
      <c r="G555" s="5" t="s">
        <v>18</v>
      </c>
      <c r="H555" s="3" t="s">
        <v>1835</v>
      </c>
      <c r="I555" s="3"/>
      <c r="J555" s="3"/>
      <c r="K555" s="5" t="s">
        <v>23</v>
      </c>
      <c r="L555" s="5">
        <v>31.25</v>
      </c>
      <c r="M555" s="2" t="s">
        <v>1836</v>
      </c>
    </row>
    <row r="556" spans="1:13" x14ac:dyDescent="0.25">
      <c r="A556" s="5" t="str">
        <f>"6281048113905"</f>
        <v>6281048113905</v>
      </c>
      <c r="B556" s="2" t="s">
        <v>1837</v>
      </c>
      <c r="C556" s="2" t="s">
        <v>1838</v>
      </c>
      <c r="D556" s="5" t="s">
        <v>15</v>
      </c>
      <c r="E556" s="5" t="s">
        <v>16</v>
      </c>
      <c r="F556" s="5" t="s">
        <v>17</v>
      </c>
      <c r="G556" s="5" t="s">
        <v>18</v>
      </c>
      <c r="H556" s="3" t="s">
        <v>27</v>
      </c>
      <c r="I556" s="3" t="s">
        <v>33</v>
      </c>
      <c r="J556" s="3" t="s">
        <v>354</v>
      </c>
      <c r="K556" s="5" t="s">
        <v>23</v>
      </c>
      <c r="L556" s="5">
        <v>15.75</v>
      </c>
      <c r="M556" s="2" t="s">
        <v>1839</v>
      </c>
    </row>
    <row r="557" spans="1:13" x14ac:dyDescent="0.25">
      <c r="A557" s="5" t="str">
        <f>"6281024010624"</f>
        <v>6281024010624</v>
      </c>
      <c r="B557" s="2" t="s">
        <v>1840</v>
      </c>
      <c r="C557" s="2" t="s">
        <v>1841</v>
      </c>
      <c r="D557" s="5" t="s">
        <v>15</v>
      </c>
      <c r="E557" s="5" t="s">
        <v>16</v>
      </c>
      <c r="F557" s="5" t="s">
        <v>17</v>
      </c>
      <c r="G557" s="5" t="s">
        <v>18</v>
      </c>
      <c r="H557" s="3" t="s">
        <v>979</v>
      </c>
      <c r="I557" s="3"/>
      <c r="J557" s="3"/>
      <c r="K557" s="5" t="s">
        <v>23</v>
      </c>
      <c r="L557" s="5">
        <v>51.5</v>
      </c>
      <c r="M557" s="2" t="s">
        <v>1842</v>
      </c>
    </row>
    <row r="558" spans="1:13" x14ac:dyDescent="0.25">
      <c r="A558" s="5" t="str">
        <f>"3228022970157"</f>
        <v>3228022970157</v>
      </c>
      <c r="B558" s="2" t="s">
        <v>1843</v>
      </c>
      <c r="C558" s="2" t="s">
        <v>1844</v>
      </c>
      <c r="D558" s="5" t="s">
        <v>15</v>
      </c>
      <c r="E558" s="5" t="s">
        <v>16</v>
      </c>
      <c r="F558" s="5" t="s">
        <v>17</v>
      </c>
      <c r="G558" s="5" t="s">
        <v>18</v>
      </c>
      <c r="H558" s="3" t="s">
        <v>107</v>
      </c>
      <c r="I558" s="3" t="s">
        <v>108</v>
      </c>
      <c r="J558" s="3" t="s">
        <v>72</v>
      </c>
      <c r="K558" s="5" t="s">
        <v>23</v>
      </c>
      <c r="L558" s="5">
        <v>9.9499999999999993</v>
      </c>
      <c r="M558" s="2" t="s">
        <v>1845</v>
      </c>
    </row>
    <row r="559" spans="1:13" x14ac:dyDescent="0.25">
      <c r="A559" s="5" t="str">
        <f>"6281057007394"</f>
        <v>6281057007394</v>
      </c>
      <c r="B559" s="2" t="s">
        <v>1846</v>
      </c>
      <c r="C559" s="2" t="s">
        <v>1847</v>
      </c>
      <c r="D559" s="5" t="s">
        <v>15</v>
      </c>
      <c r="E559" s="5" t="s">
        <v>16</v>
      </c>
      <c r="F559" s="5" t="s">
        <v>17</v>
      </c>
      <c r="G559" s="5" t="s">
        <v>18</v>
      </c>
      <c r="H559" s="3" t="s">
        <v>44</v>
      </c>
      <c r="I559" s="3"/>
      <c r="J559" s="3"/>
      <c r="K559" s="5" t="s">
        <v>23</v>
      </c>
      <c r="L559" s="5">
        <v>21.25</v>
      </c>
      <c r="M559" s="2" t="s">
        <v>1848</v>
      </c>
    </row>
    <row r="560" spans="1:13" x14ac:dyDescent="0.25">
      <c r="A560" s="5" t="str">
        <f>"6281057001880"</f>
        <v>6281057001880</v>
      </c>
      <c r="B560" s="2" t="s">
        <v>1849</v>
      </c>
      <c r="C560" s="2" t="s">
        <v>1850</v>
      </c>
      <c r="D560" s="5" t="s">
        <v>15</v>
      </c>
      <c r="E560" s="5" t="s">
        <v>16</v>
      </c>
      <c r="F560" s="5" t="s">
        <v>17</v>
      </c>
      <c r="G560" s="5" t="s">
        <v>18</v>
      </c>
      <c r="H560" s="3" t="s">
        <v>44</v>
      </c>
      <c r="I560" s="3" t="s">
        <v>33</v>
      </c>
      <c r="J560" s="3" t="s">
        <v>1851</v>
      </c>
      <c r="K560" s="5" t="s">
        <v>23</v>
      </c>
      <c r="L560" s="5">
        <v>21.25</v>
      </c>
      <c r="M560" s="2" t="s">
        <v>1852</v>
      </c>
    </row>
    <row r="561" spans="1:13" x14ac:dyDescent="0.25">
      <c r="A561" s="5" t="str">
        <f>"6281057002115"</f>
        <v>6281057002115</v>
      </c>
      <c r="B561" s="2" t="s">
        <v>1853</v>
      </c>
      <c r="C561" s="2" t="s">
        <v>1854</v>
      </c>
      <c r="D561" s="5" t="s">
        <v>15</v>
      </c>
      <c r="E561" s="5" t="s">
        <v>16</v>
      </c>
      <c r="F561" s="5" t="s">
        <v>17</v>
      </c>
      <c r="G561" s="5" t="s">
        <v>18</v>
      </c>
      <c r="H561" s="3" t="s">
        <v>44</v>
      </c>
      <c r="I561" s="3"/>
      <c r="J561" s="3" t="s">
        <v>28</v>
      </c>
      <c r="K561" s="5" t="s">
        <v>23</v>
      </c>
      <c r="L561" s="5">
        <v>10.5</v>
      </c>
      <c r="M561" s="2" t="s">
        <v>1855</v>
      </c>
    </row>
    <row r="562" spans="1:13" x14ac:dyDescent="0.25">
      <c r="A562" s="5" t="str">
        <f>"6281022153415"</f>
        <v>6281022153415</v>
      </c>
      <c r="B562" s="2" t="s">
        <v>1856</v>
      </c>
      <c r="C562" s="2" t="s">
        <v>1857</v>
      </c>
      <c r="D562" s="5" t="s">
        <v>15</v>
      </c>
      <c r="E562" s="5" t="s">
        <v>16</v>
      </c>
      <c r="F562" s="5" t="s">
        <v>17</v>
      </c>
      <c r="G562" s="5" t="s">
        <v>18</v>
      </c>
      <c r="H562" s="3"/>
      <c r="I562" s="3"/>
      <c r="J562" s="3"/>
      <c r="K562" s="5" t="s">
        <v>23</v>
      </c>
      <c r="L562" s="5">
        <v>28</v>
      </c>
      <c r="M562" s="2" t="s">
        <v>1858</v>
      </c>
    </row>
    <row r="563" spans="1:13" x14ac:dyDescent="0.25">
      <c r="A563" s="5" t="str">
        <f>"6281039172737"</f>
        <v>6281039172737</v>
      </c>
      <c r="B563" s="2" t="s">
        <v>1859</v>
      </c>
      <c r="C563" s="2" t="s">
        <v>1860</v>
      </c>
      <c r="D563" s="5" t="s">
        <v>15</v>
      </c>
      <c r="E563" s="5" t="s">
        <v>16</v>
      </c>
      <c r="F563" s="5" t="s">
        <v>17</v>
      </c>
      <c r="G563" s="5" t="s">
        <v>18</v>
      </c>
      <c r="H563" s="3" t="s">
        <v>146</v>
      </c>
      <c r="I563" s="3"/>
      <c r="J563" s="3"/>
      <c r="K563" s="5" t="s">
        <v>23</v>
      </c>
      <c r="L563" s="5">
        <v>37.75</v>
      </c>
      <c r="M563" s="2" t="s">
        <v>1861</v>
      </c>
    </row>
    <row r="564" spans="1:13" x14ac:dyDescent="0.25">
      <c r="A564" s="5" t="str">
        <f>"6281022117370"</f>
        <v>6281022117370</v>
      </c>
      <c r="B564" s="2" t="s">
        <v>1862</v>
      </c>
      <c r="C564" s="2" t="s">
        <v>1863</v>
      </c>
      <c r="D564" s="5" t="s">
        <v>15</v>
      </c>
      <c r="E564" s="5" t="s">
        <v>16</v>
      </c>
      <c r="F564" s="5" t="s">
        <v>17</v>
      </c>
      <c r="G564" s="5" t="s">
        <v>18</v>
      </c>
      <c r="H564" s="3" t="s">
        <v>59</v>
      </c>
      <c r="I564" s="3" t="s">
        <v>33</v>
      </c>
      <c r="J564" s="3" t="s">
        <v>130</v>
      </c>
      <c r="K564" s="5" t="s">
        <v>23</v>
      </c>
      <c r="L564" s="5">
        <v>4</v>
      </c>
      <c r="M564" s="2" t="s">
        <v>1864</v>
      </c>
    </row>
    <row r="565" spans="1:13" x14ac:dyDescent="0.25">
      <c r="A565" s="5" t="str">
        <f>"6281039102017"</f>
        <v>6281039102017</v>
      </c>
      <c r="B565" s="2" t="s">
        <v>1865</v>
      </c>
      <c r="C565" s="2" t="s">
        <v>1866</v>
      </c>
      <c r="D565" s="5" t="s">
        <v>15</v>
      </c>
      <c r="E565" s="5" t="s">
        <v>16</v>
      </c>
      <c r="F565" s="5" t="s">
        <v>17</v>
      </c>
      <c r="G565" s="5" t="s">
        <v>18</v>
      </c>
      <c r="H565" s="3" t="s">
        <v>146</v>
      </c>
      <c r="I565" s="3"/>
      <c r="J565" s="3"/>
      <c r="K565" s="5" t="s">
        <v>23</v>
      </c>
      <c r="L565" s="5">
        <v>3.5</v>
      </c>
      <c r="M565" s="2" t="s">
        <v>1867</v>
      </c>
    </row>
    <row r="566" spans="1:13" x14ac:dyDescent="0.25">
      <c r="A566" s="5" t="str">
        <f>"6281022102918"</f>
        <v>6281022102918</v>
      </c>
      <c r="B566" s="2" t="s">
        <v>1868</v>
      </c>
      <c r="C566" s="2" t="s">
        <v>1869</v>
      </c>
      <c r="D566" s="5" t="s">
        <v>15</v>
      </c>
      <c r="E566" s="5" t="s">
        <v>16</v>
      </c>
      <c r="F566" s="5" t="s">
        <v>17</v>
      </c>
      <c r="G566" s="5" t="s">
        <v>18</v>
      </c>
      <c r="H566" s="3"/>
      <c r="I566" s="3"/>
      <c r="J566" s="3"/>
      <c r="K566" s="5" t="s">
        <v>23</v>
      </c>
      <c r="L566" s="5">
        <v>2</v>
      </c>
      <c r="M566" s="2" t="s">
        <v>1870</v>
      </c>
    </row>
    <row r="567" spans="1:13" x14ac:dyDescent="0.25">
      <c r="A567" s="5" t="str">
        <f>"6281048106990"</f>
        <v>6281048106990</v>
      </c>
      <c r="B567" s="2" t="s">
        <v>1871</v>
      </c>
      <c r="C567" s="2" t="s">
        <v>1872</v>
      </c>
      <c r="D567" s="5" t="s">
        <v>15</v>
      </c>
      <c r="E567" s="5" t="s">
        <v>16</v>
      </c>
      <c r="F567" s="5" t="s">
        <v>17</v>
      </c>
      <c r="G567" s="5" t="s">
        <v>18</v>
      </c>
      <c r="H567" s="3" t="s">
        <v>27</v>
      </c>
      <c r="I567" s="3"/>
      <c r="J567" s="3" t="s">
        <v>1479</v>
      </c>
      <c r="K567" s="5" t="s">
        <v>23</v>
      </c>
      <c r="L567" s="5">
        <v>11.95</v>
      </c>
      <c r="M567" s="2" t="s">
        <v>1873</v>
      </c>
    </row>
    <row r="568" spans="1:13" x14ac:dyDescent="0.25">
      <c r="A568" s="5" t="str">
        <f>"5711953148842"</f>
        <v>5711953148842</v>
      </c>
      <c r="B568" s="2" t="s">
        <v>1874</v>
      </c>
      <c r="C568" s="2" t="s">
        <v>1875</v>
      </c>
      <c r="D568" s="5" t="s">
        <v>15</v>
      </c>
      <c r="E568" s="5" t="s">
        <v>16</v>
      </c>
      <c r="F568" s="5" t="s">
        <v>17</v>
      </c>
      <c r="G568" s="5" t="s">
        <v>18</v>
      </c>
      <c r="H568" s="3" t="s">
        <v>27</v>
      </c>
      <c r="I568" s="3" t="s">
        <v>174</v>
      </c>
      <c r="J568" s="3" t="s">
        <v>354</v>
      </c>
      <c r="K568" s="5" t="s">
        <v>23</v>
      </c>
      <c r="L568" s="5">
        <v>7.95</v>
      </c>
      <c r="M568" s="2" t="s">
        <v>1876</v>
      </c>
    </row>
    <row r="569" spans="1:13" x14ac:dyDescent="0.25">
      <c r="A569" s="5" t="str">
        <f>"6281039711011"</f>
        <v>6281039711011</v>
      </c>
      <c r="B569" s="2" t="s">
        <v>1877</v>
      </c>
      <c r="C569" s="2" t="s">
        <v>1878</v>
      </c>
      <c r="D569" s="5" t="s">
        <v>15</v>
      </c>
      <c r="E569" s="5" t="s">
        <v>16</v>
      </c>
      <c r="F569" s="5" t="s">
        <v>17</v>
      </c>
      <c r="G569" s="5" t="s">
        <v>18</v>
      </c>
      <c r="H569" s="3" t="s">
        <v>146</v>
      </c>
      <c r="I569" s="3"/>
      <c r="J569" s="3" t="s">
        <v>1879</v>
      </c>
      <c r="K569" s="5" t="s">
        <v>23</v>
      </c>
      <c r="L569" s="5">
        <v>9.75</v>
      </c>
      <c r="M569" s="2" t="s">
        <v>1880</v>
      </c>
    </row>
    <row r="570" spans="1:13" x14ac:dyDescent="0.25">
      <c r="A570" s="5" t="str">
        <f>"8719200269088"</f>
        <v>8719200269088</v>
      </c>
      <c r="B570" s="2" t="s">
        <v>1881</v>
      </c>
      <c r="C570" s="2" t="s">
        <v>1882</v>
      </c>
      <c r="D570" s="5" t="s">
        <v>15</v>
      </c>
      <c r="E570" s="5" t="s">
        <v>16</v>
      </c>
      <c r="F570" s="5" t="s">
        <v>17</v>
      </c>
      <c r="G570" s="5" t="s">
        <v>18</v>
      </c>
      <c r="H570" s="3"/>
      <c r="I570" s="3"/>
      <c r="J570" s="3"/>
      <c r="K570" s="5" t="s">
        <v>23</v>
      </c>
      <c r="L570" s="5">
        <v>15.5</v>
      </c>
      <c r="M570" s="2" t="s">
        <v>1883</v>
      </c>
    </row>
    <row r="571" spans="1:13" x14ac:dyDescent="0.25">
      <c r="A571" s="5" t="str">
        <f>"6084012090475"</f>
        <v>6084012090475</v>
      </c>
      <c r="B571" s="2" t="s">
        <v>1884</v>
      </c>
      <c r="C571" s="2" t="s">
        <v>1885</v>
      </c>
      <c r="D571" s="5" t="s">
        <v>15</v>
      </c>
      <c r="E571" s="5" t="s">
        <v>16</v>
      </c>
      <c r="F571" s="5" t="s">
        <v>17</v>
      </c>
      <c r="G571" s="5" t="s">
        <v>18</v>
      </c>
      <c r="H571" s="3" t="s">
        <v>206</v>
      </c>
      <c r="I571" s="3"/>
      <c r="J571" s="3" t="s">
        <v>1886</v>
      </c>
      <c r="K571" s="5" t="s">
        <v>23</v>
      </c>
      <c r="L571" s="5">
        <v>12.95</v>
      </c>
      <c r="M571" s="2" t="s">
        <v>1887</v>
      </c>
    </row>
    <row r="572" spans="1:13" x14ac:dyDescent="0.25">
      <c r="A572" s="5" t="str">
        <f>"6281039102024"</f>
        <v>6281039102024</v>
      </c>
      <c r="B572" s="2" t="s">
        <v>1888</v>
      </c>
      <c r="C572" s="2" t="s">
        <v>1889</v>
      </c>
      <c r="D572" s="5" t="s">
        <v>15</v>
      </c>
      <c r="E572" s="5" t="s">
        <v>16</v>
      </c>
      <c r="F572" s="5" t="s">
        <v>17</v>
      </c>
      <c r="G572" s="5" t="s">
        <v>18</v>
      </c>
      <c r="H572" s="3" t="s">
        <v>146</v>
      </c>
      <c r="I572" s="3"/>
      <c r="J572" s="3"/>
      <c r="K572" s="5" t="s">
        <v>23</v>
      </c>
      <c r="L572" s="5">
        <v>65</v>
      </c>
      <c r="M572" s="2" t="s">
        <v>1890</v>
      </c>
    </row>
    <row r="573" spans="1:13" x14ac:dyDescent="0.25">
      <c r="A573" s="5" t="str">
        <f>"2140561000007"</f>
        <v>2140561000007</v>
      </c>
      <c r="B573" s="2" t="s">
        <v>1891</v>
      </c>
      <c r="C573" s="2" t="s">
        <v>1892</v>
      </c>
      <c r="D573" s="5" t="s">
        <v>15</v>
      </c>
      <c r="E573" s="5" t="s">
        <v>16</v>
      </c>
      <c r="F573" s="5" t="s">
        <v>17</v>
      </c>
      <c r="G573" s="5" t="s">
        <v>18</v>
      </c>
      <c r="H573" s="3"/>
      <c r="I573" s="3"/>
      <c r="J573" s="3"/>
      <c r="K573" s="5" t="s">
        <v>19</v>
      </c>
      <c r="L573" s="5">
        <v>36.950000000000003</v>
      </c>
      <c r="M573" s="2" t="s">
        <v>1893</v>
      </c>
    </row>
    <row r="574" spans="1:13" x14ac:dyDescent="0.25">
      <c r="A574" s="5" t="str">
        <f>"5411188115434"</f>
        <v>5411188115434</v>
      </c>
      <c r="B574" s="2" t="s">
        <v>1894</v>
      </c>
      <c r="C574" s="2" t="s">
        <v>1895</v>
      </c>
      <c r="D574" s="5" t="s">
        <v>15</v>
      </c>
      <c r="E574" s="5" t="s">
        <v>16</v>
      </c>
      <c r="F574" s="5" t="s">
        <v>17</v>
      </c>
      <c r="G574" s="5" t="s">
        <v>18</v>
      </c>
      <c r="H574" s="3" t="s">
        <v>230</v>
      </c>
      <c r="I574" s="3"/>
      <c r="J574" s="3"/>
      <c r="K574" s="5" t="s">
        <v>23</v>
      </c>
      <c r="L574" s="5">
        <v>28</v>
      </c>
      <c r="M574" s="2" t="s">
        <v>1896</v>
      </c>
    </row>
    <row r="575" spans="1:13" x14ac:dyDescent="0.25">
      <c r="A575" s="5" t="str">
        <f>"6281020171534"</f>
        <v>6281020171534</v>
      </c>
      <c r="B575" s="2" t="s">
        <v>1897</v>
      </c>
      <c r="C575" s="2" t="s">
        <v>1898</v>
      </c>
      <c r="D575" s="5" t="s">
        <v>15</v>
      </c>
      <c r="E575" s="5" t="s">
        <v>16</v>
      </c>
      <c r="F575" s="5" t="s">
        <v>17</v>
      </c>
      <c r="G575" s="5" t="s">
        <v>18</v>
      </c>
      <c r="H575" s="3" t="s">
        <v>1146</v>
      </c>
      <c r="I575" s="3"/>
      <c r="J575" s="3"/>
      <c r="K575" s="5" t="s">
        <v>23</v>
      </c>
      <c r="L575" s="5">
        <v>17</v>
      </c>
      <c r="M575" s="2" t="s">
        <v>1899</v>
      </c>
    </row>
    <row r="576" spans="1:13" x14ac:dyDescent="0.25">
      <c r="A576" s="5" t="str">
        <f>"6281022167375"</f>
        <v>6281022167375</v>
      </c>
      <c r="B576" s="2" t="s">
        <v>1900</v>
      </c>
      <c r="C576" s="2" t="s">
        <v>1901</v>
      </c>
      <c r="D576" s="5" t="s">
        <v>15</v>
      </c>
      <c r="E576" s="5" t="s">
        <v>16</v>
      </c>
      <c r="F576" s="5" t="s">
        <v>17</v>
      </c>
      <c r="G576" s="5" t="s">
        <v>18</v>
      </c>
      <c r="H576" s="3"/>
      <c r="I576" s="3"/>
      <c r="J576" s="3"/>
      <c r="K576" s="5" t="s">
        <v>23</v>
      </c>
      <c r="L576" s="5">
        <v>50</v>
      </c>
      <c r="M576" s="2" t="s">
        <v>1902</v>
      </c>
    </row>
    <row r="577" spans="1:13" x14ac:dyDescent="0.25">
      <c r="A577" s="5" t="str">
        <f>"6281024010617"</f>
        <v>6281024010617</v>
      </c>
      <c r="B577" s="2" t="s">
        <v>1903</v>
      </c>
      <c r="C577" s="2" t="s">
        <v>1904</v>
      </c>
      <c r="D577" s="5" t="s">
        <v>15</v>
      </c>
      <c r="E577" s="5" t="s">
        <v>16</v>
      </c>
      <c r="F577" s="5" t="s">
        <v>17</v>
      </c>
      <c r="G577" s="5" t="s">
        <v>18</v>
      </c>
      <c r="H577" s="3" t="s">
        <v>979</v>
      </c>
      <c r="I577" s="3"/>
      <c r="J577" s="3"/>
      <c r="K577" s="5" t="s">
        <v>23</v>
      </c>
      <c r="L577" s="5">
        <v>19.5</v>
      </c>
      <c r="M577" s="2" t="s">
        <v>1905</v>
      </c>
    </row>
    <row r="578" spans="1:13" x14ac:dyDescent="0.25">
      <c r="A578" s="5" t="str">
        <f>"6281007036160"</f>
        <v>6281007036160</v>
      </c>
      <c r="B578" s="2" t="s">
        <v>1906</v>
      </c>
      <c r="C578" s="2" t="s">
        <v>1907</v>
      </c>
      <c r="D578" s="5" t="s">
        <v>15</v>
      </c>
      <c r="E578" s="5" t="s">
        <v>16</v>
      </c>
      <c r="F578" s="5" t="s">
        <v>17</v>
      </c>
      <c r="G578" s="5" t="s">
        <v>18</v>
      </c>
      <c r="H578" s="3" t="s">
        <v>32</v>
      </c>
      <c r="I578" s="3"/>
      <c r="J578" s="3" t="s">
        <v>1908</v>
      </c>
      <c r="K578" s="5" t="s">
        <v>23</v>
      </c>
      <c r="L578" s="5">
        <v>36.5</v>
      </c>
      <c r="M578" s="2" t="s">
        <v>1909</v>
      </c>
    </row>
    <row r="579" spans="1:13" x14ac:dyDescent="0.25">
      <c r="A579" s="5" t="str">
        <f>"2145621000003"</f>
        <v>2145621000003</v>
      </c>
      <c r="B579" s="2" t="s">
        <v>1910</v>
      </c>
      <c r="C579" s="2" t="s">
        <v>1911</v>
      </c>
      <c r="D579" s="5" t="s">
        <v>15</v>
      </c>
      <c r="E579" s="5" t="s">
        <v>16</v>
      </c>
      <c r="F579" s="5" t="s">
        <v>17</v>
      </c>
      <c r="G579" s="5" t="s">
        <v>18</v>
      </c>
      <c r="H579" s="3"/>
      <c r="I579" s="3"/>
      <c r="J579" s="3"/>
      <c r="K579" s="5" t="s">
        <v>19</v>
      </c>
      <c r="L579" s="5">
        <v>74.95</v>
      </c>
      <c r="M579" s="2" t="s">
        <v>1912</v>
      </c>
    </row>
    <row r="580" spans="1:13" x14ac:dyDescent="0.25">
      <c r="A580" s="5" t="str">
        <f>"6281057030019"</f>
        <v>6281057030019</v>
      </c>
      <c r="B580" s="2" t="s">
        <v>1913</v>
      </c>
      <c r="C580" s="2" t="s">
        <v>1914</v>
      </c>
      <c r="D580" s="5" t="s">
        <v>15</v>
      </c>
      <c r="E580" s="5" t="s">
        <v>16</v>
      </c>
      <c r="F580" s="5" t="s">
        <v>17</v>
      </c>
      <c r="G580" s="5" t="s">
        <v>18</v>
      </c>
      <c r="H580" s="3" t="s">
        <v>44</v>
      </c>
      <c r="I580" s="3"/>
      <c r="J580" s="3"/>
      <c r="K580" s="5" t="s">
        <v>23</v>
      </c>
      <c r="L580" s="5">
        <v>3</v>
      </c>
      <c r="M580" s="2" t="s">
        <v>1915</v>
      </c>
    </row>
    <row r="581" spans="1:13" x14ac:dyDescent="0.25">
      <c r="A581" s="5" t="str">
        <f>"6281057004133"</f>
        <v>6281057004133</v>
      </c>
      <c r="B581" s="2" t="s">
        <v>1916</v>
      </c>
      <c r="C581" s="2" t="s">
        <v>1917</v>
      </c>
      <c r="D581" s="5" t="s">
        <v>15</v>
      </c>
      <c r="E581" s="5" t="s">
        <v>16</v>
      </c>
      <c r="F581" s="5" t="s">
        <v>17</v>
      </c>
      <c r="G581" s="5" t="s">
        <v>18</v>
      </c>
      <c r="H581" s="3" t="s">
        <v>44</v>
      </c>
      <c r="I581" s="3"/>
      <c r="J581" s="3"/>
      <c r="K581" s="5" t="s">
        <v>23</v>
      </c>
      <c r="L581" s="5">
        <v>2.5</v>
      </c>
      <c r="M581" s="2" t="s">
        <v>1918</v>
      </c>
    </row>
    <row r="582" spans="1:13" x14ac:dyDescent="0.25">
      <c r="A582" s="5" t="str">
        <f>"6285835000690"</f>
        <v>6285835000690</v>
      </c>
      <c r="B582" s="2" t="s">
        <v>1919</v>
      </c>
      <c r="C582" s="2" t="s">
        <v>1920</v>
      </c>
      <c r="D582" s="5" t="s">
        <v>15</v>
      </c>
      <c r="E582" s="5" t="s">
        <v>16</v>
      </c>
      <c r="F582" s="5" t="s">
        <v>17</v>
      </c>
      <c r="G582" s="5" t="s">
        <v>18</v>
      </c>
      <c r="H582" s="3" t="s">
        <v>1921</v>
      </c>
      <c r="I582" s="3"/>
      <c r="J582" s="3" t="s">
        <v>1922</v>
      </c>
      <c r="K582" s="5" t="s">
        <v>23</v>
      </c>
      <c r="L582" s="5">
        <v>16.75</v>
      </c>
      <c r="M582" s="2" t="s">
        <v>1923</v>
      </c>
    </row>
    <row r="583" spans="1:13" x14ac:dyDescent="0.25">
      <c r="A583" s="5" t="str">
        <f>"6281022118070"</f>
        <v>6281022118070</v>
      </c>
      <c r="B583" s="2" t="s">
        <v>1924</v>
      </c>
      <c r="C583" s="2" t="s">
        <v>1925</v>
      </c>
      <c r="D583" s="5" t="s">
        <v>15</v>
      </c>
      <c r="E583" s="5" t="s">
        <v>16</v>
      </c>
      <c r="F583" s="5" t="s">
        <v>17</v>
      </c>
      <c r="G583" s="5" t="s">
        <v>18</v>
      </c>
      <c r="H583" s="3" t="s">
        <v>59</v>
      </c>
      <c r="I583" s="3"/>
      <c r="J583" s="3"/>
      <c r="K583" s="5" t="s">
        <v>23</v>
      </c>
      <c r="L583" s="5">
        <v>3.95</v>
      </c>
      <c r="M583" s="2" t="s">
        <v>1926</v>
      </c>
    </row>
    <row r="584" spans="1:13" x14ac:dyDescent="0.25">
      <c r="A584" s="5" t="str">
        <f>"6281057005062"</f>
        <v>6281057005062</v>
      </c>
      <c r="B584" s="2" t="s">
        <v>1927</v>
      </c>
      <c r="C584" s="2" t="s">
        <v>1928</v>
      </c>
      <c r="D584" s="5" t="s">
        <v>15</v>
      </c>
      <c r="E584" s="5" t="s">
        <v>16</v>
      </c>
      <c r="F584" s="5" t="s">
        <v>17</v>
      </c>
      <c r="G584" s="5" t="s">
        <v>18</v>
      </c>
      <c r="H584" s="3" t="s">
        <v>44</v>
      </c>
      <c r="I584" s="3"/>
      <c r="J584" s="3" t="s">
        <v>1929</v>
      </c>
      <c r="K584" s="5" t="s">
        <v>23</v>
      </c>
      <c r="L584" s="5">
        <v>7.5</v>
      </c>
      <c r="M584" s="2" t="s">
        <v>1930</v>
      </c>
    </row>
    <row r="585" spans="1:13" x14ac:dyDescent="0.25">
      <c r="A585" s="5" t="str">
        <f>"2140484000009"</f>
        <v>2140484000009</v>
      </c>
      <c r="B585" s="2" t="s">
        <v>1931</v>
      </c>
      <c r="C585" s="2" t="s">
        <v>1932</v>
      </c>
      <c r="D585" s="5" t="s">
        <v>15</v>
      </c>
      <c r="E585" s="5" t="s">
        <v>16</v>
      </c>
      <c r="F585" s="5" t="s">
        <v>17</v>
      </c>
      <c r="G585" s="5" t="s">
        <v>18</v>
      </c>
      <c r="H585" s="3"/>
      <c r="I585" s="3"/>
      <c r="J585" s="3"/>
      <c r="K585" s="5" t="s">
        <v>19</v>
      </c>
      <c r="L585" s="5">
        <v>26.45</v>
      </c>
      <c r="M585" s="2" t="s">
        <v>1933</v>
      </c>
    </row>
    <row r="586" spans="1:13" x14ac:dyDescent="0.25">
      <c r="A586" s="5" t="str">
        <f>"6287004520398"</f>
        <v>6287004520398</v>
      </c>
      <c r="B586" s="2" t="s">
        <v>1934</v>
      </c>
      <c r="C586" s="2" t="s">
        <v>1935</v>
      </c>
      <c r="D586" s="5" t="s">
        <v>15</v>
      </c>
      <c r="E586" s="5" t="s">
        <v>16</v>
      </c>
      <c r="F586" s="5" t="s">
        <v>17</v>
      </c>
      <c r="G586" s="5" t="s">
        <v>18</v>
      </c>
      <c r="H586" s="3" t="s">
        <v>48</v>
      </c>
      <c r="I586" s="3"/>
      <c r="J586" s="3"/>
      <c r="K586" s="5" t="s">
        <v>23</v>
      </c>
      <c r="L586" s="5">
        <v>15.5</v>
      </c>
      <c r="M586" s="2" t="s">
        <v>1936</v>
      </c>
    </row>
    <row r="587" spans="1:13" x14ac:dyDescent="0.25">
      <c r="A587" s="5" t="str">
        <f>"6281021333207"</f>
        <v>6281021333207</v>
      </c>
      <c r="B587" s="2" t="s">
        <v>1937</v>
      </c>
      <c r="C587" s="2" t="s">
        <v>1938</v>
      </c>
      <c r="D587" s="5" t="s">
        <v>15</v>
      </c>
      <c r="E587" s="5" t="s">
        <v>16</v>
      </c>
      <c r="F587" s="5" t="s">
        <v>17</v>
      </c>
      <c r="G587" s="5" t="s">
        <v>18</v>
      </c>
      <c r="H587" s="3" t="s">
        <v>1939</v>
      </c>
      <c r="I587" s="3"/>
      <c r="J587" s="3"/>
      <c r="K587" s="5" t="s">
        <v>23</v>
      </c>
      <c r="L587" s="5">
        <v>27.75</v>
      </c>
      <c r="M587" s="2" t="s">
        <v>1940</v>
      </c>
    </row>
    <row r="588" spans="1:13" x14ac:dyDescent="0.25">
      <c r="A588" s="5" t="str">
        <f>"6281018220848"</f>
        <v>6281018220848</v>
      </c>
      <c r="B588" s="2" t="s">
        <v>1941</v>
      </c>
      <c r="C588" s="2" t="s">
        <v>1942</v>
      </c>
      <c r="D588" s="5" t="s">
        <v>15</v>
      </c>
      <c r="E588" s="5" t="s">
        <v>16</v>
      </c>
      <c r="F588" s="5" t="s">
        <v>17</v>
      </c>
      <c r="G588" s="5" t="s">
        <v>18</v>
      </c>
      <c r="H588" s="3" t="s">
        <v>67</v>
      </c>
      <c r="I588" s="3"/>
      <c r="J588" s="3" t="s">
        <v>587</v>
      </c>
      <c r="K588" s="5" t="s">
        <v>23</v>
      </c>
      <c r="L588" s="5">
        <v>5.95</v>
      </c>
      <c r="M588" s="2" t="s">
        <v>1943</v>
      </c>
    </row>
    <row r="589" spans="1:13" x14ac:dyDescent="0.25">
      <c r="A589" s="5" t="str">
        <f>"6281022134018"</f>
        <v>6281022134018</v>
      </c>
      <c r="B589" s="2" t="s">
        <v>1944</v>
      </c>
      <c r="C589" s="2" t="s">
        <v>1945</v>
      </c>
      <c r="D589" s="5" t="s">
        <v>15</v>
      </c>
      <c r="E589" s="5" t="s">
        <v>16</v>
      </c>
      <c r="F589" s="5" t="s">
        <v>17</v>
      </c>
      <c r="G589" s="5" t="s">
        <v>18</v>
      </c>
      <c r="H589" s="3"/>
      <c r="I589" s="3"/>
      <c r="J589" s="3" t="s">
        <v>371</v>
      </c>
      <c r="K589" s="5" t="s">
        <v>23</v>
      </c>
      <c r="L589" s="5">
        <v>5.95</v>
      </c>
      <c r="M589" s="2" t="s">
        <v>1946</v>
      </c>
    </row>
    <row r="590" spans="1:13" x14ac:dyDescent="0.25">
      <c r="A590" s="5" t="str">
        <f>"6297000670065"</f>
        <v>6297000670065</v>
      </c>
      <c r="B590" s="2" t="s">
        <v>1947</v>
      </c>
      <c r="C590" s="2" t="s">
        <v>1948</v>
      </c>
      <c r="D590" s="5" t="s">
        <v>15</v>
      </c>
      <c r="E590" s="5" t="s">
        <v>16</v>
      </c>
      <c r="F590" s="5" t="s">
        <v>17</v>
      </c>
      <c r="G590" s="5" t="s">
        <v>18</v>
      </c>
      <c r="H590" s="3" t="s">
        <v>539</v>
      </c>
      <c r="I590" s="3"/>
      <c r="J590" s="3" t="s">
        <v>510</v>
      </c>
      <c r="K590" s="5" t="s">
        <v>23</v>
      </c>
      <c r="L590" s="5">
        <v>34</v>
      </c>
      <c r="M590" s="2" t="s">
        <v>1949</v>
      </c>
    </row>
    <row r="591" spans="1:13" x14ac:dyDescent="0.25">
      <c r="A591" s="5" t="str">
        <f>"6281048098264"</f>
        <v>6281048098264</v>
      </c>
      <c r="B591" s="2" t="s">
        <v>1950</v>
      </c>
      <c r="C591" s="2" t="s">
        <v>1951</v>
      </c>
      <c r="D591" s="5" t="s">
        <v>15</v>
      </c>
      <c r="E591" s="5" t="s">
        <v>16</v>
      </c>
      <c r="F591" s="5" t="s">
        <v>17</v>
      </c>
      <c r="G591" s="5" t="s">
        <v>18</v>
      </c>
      <c r="H591" s="3" t="s">
        <v>27</v>
      </c>
      <c r="I591" s="3"/>
      <c r="J591" s="3"/>
      <c r="K591" s="5" t="s">
        <v>23</v>
      </c>
      <c r="L591" s="5">
        <v>44.25</v>
      </c>
      <c r="M591" s="2" t="s">
        <v>1952</v>
      </c>
    </row>
    <row r="592" spans="1:13" x14ac:dyDescent="0.25">
      <c r="A592" s="5" t="str">
        <f>"6281007042772"</f>
        <v>6281007042772</v>
      </c>
      <c r="B592" s="2" t="s">
        <v>1953</v>
      </c>
      <c r="C592" s="2" t="s">
        <v>1954</v>
      </c>
      <c r="D592" s="5" t="s">
        <v>15</v>
      </c>
      <c r="E592" s="5" t="s">
        <v>16</v>
      </c>
      <c r="F592" s="5" t="s">
        <v>17</v>
      </c>
      <c r="G592" s="5" t="s">
        <v>18</v>
      </c>
      <c r="H592" s="3" t="s">
        <v>32</v>
      </c>
      <c r="I592" s="3" t="s">
        <v>33</v>
      </c>
      <c r="J592" s="3"/>
      <c r="K592" s="5" t="s">
        <v>23</v>
      </c>
      <c r="L592" s="5">
        <v>30.5</v>
      </c>
      <c r="M592" s="2" t="s">
        <v>1955</v>
      </c>
    </row>
    <row r="593" spans="1:13" x14ac:dyDescent="0.25">
      <c r="A593" s="5" t="str">
        <f>"6281073160981"</f>
        <v>6281073160981</v>
      </c>
      <c r="B593" s="2" t="s">
        <v>1956</v>
      </c>
      <c r="C593" s="2" t="s">
        <v>1957</v>
      </c>
      <c r="D593" s="5" t="s">
        <v>15</v>
      </c>
      <c r="E593" s="5" t="s">
        <v>16</v>
      </c>
      <c r="F593" s="5" t="s">
        <v>17</v>
      </c>
      <c r="G593" s="5" t="s">
        <v>18</v>
      </c>
      <c r="H593" s="3" t="s">
        <v>1835</v>
      </c>
      <c r="I593" s="3"/>
      <c r="J593" s="3"/>
      <c r="K593" s="5" t="s">
        <v>23</v>
      </c>
      <c r="L593" s="5">
        <v>23.75</v>
      </c>
      <c r="M593" s="2" t="s">
        <v>1958</v>
      </c>
    </row>
    <row r="594" spans="1:13" x14ac:dyDescent="0.25">
      <c r="A594" s="5" t="str">
        <f>"6281022102925"</f>
        <v>6281022102925</v>
      </c>
      <c r="B594" s="2" t="s">
        <v>1959</v>
      </c>
      <c r="C594" s="2" t="s">
        <v>1960</v>
      </c>
      <c r="D594" s="5" t="s">
        <v>15</v>
      </c>
      <c r="E594" s="5" t="s">
        <v>16</v>
      </c>
      <c r="F594" s="5" t="s">
        <v>17</v>
      </c>
      <c r="G594" s="5" t="s">
        <v>18</v>
      </c>
      <c r="H594" s="3"/>
      <c r="I594" s="3"/>
      <c r="J594" s="3"/>
      <c r="K594" s="5" t="s">
        <v>23</v>
      </c>
      <c r="L594" s="5">
        <v>2</v>
      </c>
      <c r="M594" s="2" t="s">
        <v>1961</v>
      </c>
    </row>
    <row r="595" spans="1:13" x14ac:dyDescent="0.25">
      <c r="A595" s="5" t="str">
        <f>"2140545000009"</f>
        <v>2140545000009</v>
      </c>
      <c r="B595" s="2" t="s">
        <v>1962</v>
      </c>
      <c r="C595" s="2" t="s">
        <v>1963</v>
      </c>
      <c r="D595" s="5" t="s">
        <v>15</v>
      </c>
      <c r="E595" s="5" t="s">
        <v>16</v>
      </c>
      <c r="F595" s="5" t="s">
        <v>17</v>
      </c>
      <c r="G595" s="5" t="s">
        <v>18</v>
      </c>
      <c r="H595" s="3"/>
      <c r="I595" s="3"/>
      <c r="J595" s="3"/>
      <c r="K595" s="5" t="s">
        <v>19</v>
      </c>
      <c r="L595" s="5">
        <v>24.45</v>
      </c>
      <c r="M595" s="2" t="s">
        <v>1964</v>
      </c>
    </row>
    <row r="596" spans="1:13" x14ac:dyDescent="0.25">
      <c r="A596" s="5" t="str">
        <f>"6287007762641"</f>
        <v>6287007762641</v>
      </c>
      <c r="B596" s="2" t="s">
        <v>1965</v>
      </c>
      <c r="C596" s="2" t="s">
        <v>1966</v>
      </c>
      <c r="D596" s="5" t="s">
        <v>15</v>
      </c>
      <c r="E596" s="5" t="s">
        <v>16</v>
      </c>
      <c r="F596" s="5" t="s">
        <v>17</v>
      </c>
      <c r="G596" s="5" t="s">
        <v>18</v>
      </c>
      <c r="H596" s="3" t="s">
        <v>1472</v>
      </c>
      <c r="I596" s="3" t="s">
        <v>33</v>
      </c>
      <c r="J596" s="3" t="s">
        <v>1967</v>
      </c>
      <c r="K596" s="5" t="s">
        <v>23</v>
      </c>
      <c r="L596" s="5">
        <v>38.25</v>
      </c>
      <c r="M596" s="2" t="s">
        <v>1968</v>
      </c>
    </row>
    <row r="597" spans="1:13" x14ac:dyDescent="0.25">
      <c r="A597" s="5" t="str">
        <f>"6281057002665"</f>
        <v>6281057002665</v>
      </c>
      <c r="B597" s="2" t="s">
        <v>1969</v>
      </c>
      <c r="C597" s="2" t="s">
        <v>1970</v>
      </c>
      <c r="D597" s="5" t="s">
        <v>15</v>
      </c>
      <c r="E597" s="5" t="s">
        <v>16</v>
      </c>
      <c r="F597" s="5" t="s">
        <v>17</v>
      </c>
      <c r="G597" s="5" t="s">
        <v>18</v>
      </c>
      <c r="H597" s="3" t="s">
        <v>44</v>
      </c>
      <c r="I597" s="3"/>
      <c r="J597" s="3"/>
      <c r="K597" s="5" t="s">
        <v>23</v>
      </c>
      <c r="L597" s="5">
        <v>3</v>
      </c>
      <c r="M597" s="2" t="s">
        <v>1971</v>
      </c>
    </row>
    <row r="598" spans="1:13" x14ac:dyDescent="0.25">
      <c r="A598" s="5" t="str">
        <f>"6287004293582"</f>
        <v>6287004293582</v>
      </c>
      <c r="B598" s="2" t="s">
        <v>1972</v>
      </c>
      <c r="C598" s="2" t="s">
        <v>1973</v>
      </c>
      <c r="D598" s="5" t="s">
        <v>15</v>
      </c>
      <c r="E598" s="5" t="s">
        <v>16</v>
      </c>
      <c r="F598" s="5" t="s">
        <v>17</v>
      </c>
      <c r="G598" s="5" t="s">
        <v>18</v>
      </c>
      <c r="H598" s="3" t="s">
        <v>622</v>
      </c>
      <c r="I598" s="3"/>
      <c r="J598" s="3" t="s">
        <v>1974</v>
      </c>
      <c r="K598" s="5" t="s">
        <v>23</v>
      </c>
      <c r="L598" s="5">
        <v>25.25</v>
      </c>
      <c r="M598" s="2" t="s">
        <v>1975</v>
      </c>
    </row>
    <row r="599" spans="1:13" x14ac:dyDescent="0.25">
      <c r="A599" s="5" t="str">
        <f>"2142815000009"</f>
        <v>2142815000009</v>
      </c>
      <c r="B599" s="2" t="s">
        <v>1976</v>
      </c>
      <c r="C599" s="2" t="s">
        <v>1977</v>
      </c>
      <c r="D599" s="5" t="s">
        <v>15</v>
      </c>
      <c r="E599" s="5" t="s">
        <v>16</v>
      </c>
      <c r="F599" s="5" t="s">
        <v>17</v>
      </c>
      <c r="G599" s="5" t="s">
        <v>18</v>
      </c>
      <c r="H599" s="3"/>
      <c r="I599" s="3"/>
      <c r="J599" s="3"/>
      <c r="K599" s="5" t="s">
        <v>19</v>
      </c>
      <c r="L599" s="5">
        <v>21.95</v>
      </c>
      <c r="M599" s="2" t="s">
        <v>1978</v>
      </c>
    </row>
    <row r="600" spans="1:13" x14ac:dyDescent="0.25">
      <c r="A600" s="5" t="str">
        <f>"8692041001034"</f>
        <v>8692041001034</v>
      </c>
      <c r="B600" s="2" t="s">
        <v>1979</v>
      </c>
      <c r="C600" s="2" t="s">
        <v>1980</v>
      </c>
      <c r="D600" s="5" t="s">
        <v>15</v>
      </c>
      <c r="E600" s="5" t="s">
        <v>16</v>
      </c>
      <c r="F600" s="5" t="s">
        <v>17</v>
      </c>
      <c r="G600" s="5" t="s">
        <v>18</v>
      </c>
      <c r="H600" s="3" t="s">
        <v>226</v>
      </c>
      <c r="I600" s="3"/>
      <c r="J600" s="3"/>
      <c r="K600" s="5" t="s">
        <v>23</v>
      </c>
      <c r="L600" s="5">
        <v>20</v>
      </c>
      <c r="M600" s="2" t="s">
        <v>1981</v>
      </c>
    </row>
    <row r="601" spans="1:13" x14ac:dyDescent="0.25">
      <c r="A601" s="5" t="str">
        <f>"6281039160918"</f>
        <v>6281039160918</v>
      </c>
      <c r="B601" s="2" t="s">
        <v>1982</v>
      </c>
      <c r="C601" s="2" t="s">
        <v>1983</v>
      </c>
      <c r="D601" s="5" t="s">
        <v>15</v>
      </c>
      <c r="E601" s="5" t="s">
        <v>16</v>
      </c>
      <c r="F601" s="5" t="s">
        <v>17</v>
      </c>
      <c r="G601" s="5" t="s">
        <v>18</v>
      </c>
      <c r="H601" s="3" t="s">
        <v>146</v>
      </c>
      <c r="I601" s="3"/>
      <c r="J601" s="3"/>
      <c r="K601" s="5" t="s">
        <v>23</v>
      </c>
      <c r="L601" s="5">
        <v>9.25</v>
      </c>
      <c r="M601" s="2" t="s">
        <v>1984</v>
      </c>
    </row>
    <row r="602" spans="1:13" x14ac:dyDescent="0.25">
      <c r="A602" s="5" t="str">
        <f>"2149474000005"</f>
        <v>2149474000005</v>
      </c>
      <c r="B602" s="2" t="s">
        <v>1985</v>
      </c>
      <c r="C602" s="2" t="s">
        <v>1986</v>
      </c>
      <c r="D602" s="5" t="s">
        <v>15</v>
      </c>
      <c r="E602" s="5" t="s">
        <v>16</v>
      </c>
      <c r="F602" s="5" t="s">
        <v>17</v>
      </c>
      <c r="G602" s="5" t="s">
        <v>18</v>
      </c>
      <c r="H602" s="3"/>
      <c r="I602" s="3"/>
      <c r="J602" s="3"/>
      <c r="K602" s="5" t="s">
        <v>19</v>
      </c>
      <c r="L602" s="5">
        <v>26.45</v>
      </c>
      <c r="M602" s="2" t="s">
        <v>1987</v>
      </c>
    </row>
    <row r="603" spans="1:13" x14ac:dyDescent="0.25">
      <c r="A603" s="5" t="str">
        <f>"6281022140415"</f>
        <v>6281022140415</v>
      </c>
      <c r="B603" s="2" t="s">
        <v>1988</v>
      </c>
      <c r="C603" s="2" t="s">
        <v>1989</v>
      </c>
      <c r="D603" s="5" t="s">
        <v>15</v>
      </c>
      <c r="E603" s="5" t="s">
        <v>16</v>
      </c>
      <c r="F603" s="5" t="s">
        <v>17</v>
      </c>
      <c r="G603" s="5" t="s">
        <v>18</v>
      </c>
      <c r="H603" s="3"/>
      <c r="I603" s="3"/>
      <c r="J603" s="3"/>
      <c r="K603" s="5" t="s">
        <v>23</v>
      </c>
      <c r="L603" s="5">
        <v>76.25</v>
      </c>
      <c r="M603" s="2" t="s">
        <v>1990</v>
      </c>
    </row>
    <row r="604" spans="1:13" x14ac:dyDescent="0.25">
      <c r="A604" s="5" t="str">
        <f>"6281018140368"</f>
        <v>6281018140368</v>
      </c>
      <c r="B604" s="2" t="s">
        <v>1991</v>
      </c>
      <c r="C604" s="2" t="s">
        <v>1992</v>
      </c>
      <c r="D604" s="5" t="s">
        <v>15</v>
      </c>
      <c r="E604" s="5" t="s">
        <v>16</v>
      </c>
      <c r="F604" s="5" t="s">
        <v>17</v>
      </c>
      <c r="G604" s="5" t="s">
        <v>18</v>
      </c>
      <c r="H604" s="3" t="s">
        <v>67</v>
      </c>
      <c r="I604" s="3" t="s">
        <v>33</v>
      </c>
      <c r="J604" s="3" t="s">
        <v>238</v>
      </c>
      <c r="K604" s="5" t="s">
        <v>23</v>
      </c>
      <c r="L604" s="5">
        <v>6.25</v>
      </c>
      <c r="M604" s="2" t="s">
        <v>1993</v>
      </c>
    </row>
    <row r="605" spans="1:13" x14ac:dyDescent="0.25">
      <c r="A605" s="5" t="str">
        <f>"6281022153347"</f>
        <v>6281022153347</v>
      </c>
      <c r="B605" s="2" t="s">
        <v>1994</v>
      </c>
      <c r="C605" s="2" t="s">
        <v>1995</v>
      </c>
      <c r="D605" s="5" t="s">
        <v>15</v>
      </c>
      <c r="E605" s="5" t="s">
        <v>16</v>
      </c>
      <c r="F605" s="5" t="s">
        <v>17</v>
      </c>
      <c r="G605" s="5" t="s">
        <v>18</v>
      </c>
      <c r="H605" s="3"/>
      <c r="I605" s="3"/>
      <c r="J605" s="3" t="s">
        <v>668</v>
      </c>
      <c r="K605" s="5" t="s">
        <v>23</v>
      </c>
      <c r="L605" s="5">
        <v>37.25</v>
      </c>
      <c r="M605" s="2" t="s">
        <v>1996</v>
      </c>
    </row>
    <row r="606" spans="1:13" x14ac:dyDescent="0.25">
      <c r="A606" s="5" t="str">
        <f>"6297001083550"</f>
        <v>6297001083550</v>
      </c>
      <c r="B606" s="2" t="s">
        <v>1997</v>
      </c>
      <c r="C606" s="2" t="s">
        <v>1998</v>
      </c>
      <c r="D606" s="5" t="s">
        <v>15</v>
      </c>
      <c r="E606" s="5" t="s">
        <v>16</v>
      </c>
      <c r="F606" s="5" t="s">
        <v>17</v>
      </c>
      <c r="G606" s="5" t="s">
        <v>18</v>
      </c>
      <c r="H606" s="3" t="s">
        <v>539</v>
      </c>
      <c r="I606" s="3"/>
      <c r="J606" s="3" t="s">
        <v>510</v>
      </c>
      <c r="K606" s="5" t="s">
        <v>23</v>
      </c>
      <c r="L606" s="5">
        <v>32</v>
      </c>
      <c r="M606" s="2" t="s">
        <v>1999</v>
      </c>
    </row>
    <row r="607" spans="1:13" x14ac:dyDescent="0.25">
      <c r="A607" s="5" t="str">
        <f>"6281020321533"</f>
        <v>6281020321533</v>
      </c>
      <c r="B607" s="2" t="s">
        <v>2000</v>
      </c>
      <c r="C607" s="2" t="s">
        <v>2001</v>
      </c>
      <c r="D607" s="5" t="s">
        <v>15</v>
      </c>
      <c r="E607" s="5" t="s">
        <v>16</v>
      </c>
      <c r="F607" s="5" t="s">
        <v>17</v>
      </c>
      <c r="G607" s="5" t="s">
        <v>18</v>
      </c>
      <c r="H607" s="3" t="s">
        <v>1146</v>
      </c>
      <c r="I607" s="3"/>
      <c r="J607" s="3" t="s">
        <v>2002</v>
      </c>
      <c r="K607" s="5" t="s">
        <v>23</v>
      </c>
      <c r="L607" s="5">
        <v>42.5</v>
      </c>
      <c r="M607" s="2" t="s">
        <v>2003</v>
      </c>
    </row>
    <row r="608" spans="1:13" x14ac:dyDescent="0.25">
      <c r="A608" s="5" t="str">
        <f>"2144425000004"</f>
        <v>2144425000004</v>
      </c>
      <c r="B608" s="2" t="s">
        <v>2004</v>
      </c>
      <c r="C608" s="2" t="s">
        <v>2005</v>
      </c>
      <c r="D608" s="5" t="s">
        <v>15</v>
      </c>
      <c r="E608" s="5" t="s">
        <v>16</v>
      </c>
      <c r="F608" s="5" t="s">
        <v>17</v>
      </c>
      <c r="G608" s="5" t="s">
        <v>18</v>
      </c>
      <c r="H608" s="3"/>
      <c r="I608" s="3"/>
      <c r="J608" s="3"/>
      <c r="K608" s="5" t="s">
        <v>19</v>
      </c>
      <c r="L608" s="5">
        <v>38.950000000000003</v>
      </c>
      <c r="M608" s="2" t="s">
        <v>2006</v>
      </c>
    </row>
    <row r="609" spans="1:13" x14ac:dyDescent="0.25">
      <c r="A609" s="5" t="str">
        <f>"5711953038198"</f>
        <v>5711953038198</v>
      </c>
      <c r="B609" s="2" t="s">
        <v>2007</v>
      </c>
      <c r="C609" s="2" t="s">
        <v>2008</v>
      </c>
      <c r="D609" s="5" t="s">
        <v>15</v>
      </c>
      <c r="E609" s="5" t="s">
        <v>16</v>
      </c>
      <c r="F609" s="5" t="s">
        <v>17</v>
      </c>
      <c r="G609" s="5" t="s">
        <v>18</v>
      </c>
      <c r="H609" s="3" t="s">
        <v>27</v>
      </c>
      <c r="I609" s="3" t="s">
        <v>174</v>
      </c>
      <c r="J609" s="3" t="s">
        <v>28</v>
      </c>
      <c r="K609" s="5" t="s">
        <v>23</v>
      </c>
      <c r="L609" s="5">
        <v>14</v>
      </c>
      <c r="M609" s="2" t="s">
        <v>2009</v>
      </c>
    </row>
    <row r="610" spans="1:13" x14ac:dyDescent="0.25">
      <c r="A610" s="5" t="str">
        <f>"6297000670287"</f>
        <v>6297000670287</v>
      </c>
      <c r="B610" s="2" t="s">
        <v>2010</v>
      </c>
      <c r="C610" s="2" t="s">
        <v>2011</v>
      </c>
      <c r="D610" s="5" t="s">
        <v>15</v>
      </c>
      <c r="E610" s="5" t="s">
        <v>16</v>
      </c>
      <c r="F610" s="5" t="s">
        <v>17</v>
      </c>
      <c r="G610" s="5" t="s">
        <v>18</v>
      </c>
      <c r="H610" s="3" t="s">
        <v>539</v>
      </c>
      <c r="I610" s="3"/>
      <c r="J610" s="3" t="s">
        <v>510</v>
      </c>
      <c r="K610" s="5" t="s">
        <v>23</v>
      </c>
      <c r="L610" s="5">
        <v>34</v>
      </c>
      <c r="M610" s="2" t="s">
        <v>2012</v>
      </c>
    </row>
    <row r="611" spans="1:13" x14ac:dyDescent="0.25">
      <c r="A611" s="5" t="str">
        <f>"5202390021510"</f>
        <v>5202390021510</v>
      </c>
      <c r="B611" s="2" t="s">
        <v>2013</v>
      </c>
      <c r="C611" s="2" t="s">
        <v>2014</v>
      </c>
      <c r="D611" s="5" t="s">
        <v>15</v>
      </c>
      <c r="E611" s="5" t="s">
        <v>16</v>
      </c>
      <c r="F611" s="5" t="s">
        <v>17</v>
      </c>
      <c r="G611" s="5" t="s">
        <v>18</v>
      </c>
      <c r="H611" s="3"/>
      <c r="I611" s="3"/>
      <c r="J611" s="3"/>
      <c r="K611" s="5" t="s">
        <v>23</v>
      </c>
      <c r="L611" s="5">
        <v>17.5</v>
      </c>
      <c r="M611" s="2" t="s">
        <v>2015</v>
      </c>
    </row>
    <row r="612" spans="1:13" x14ac:dyDescent="0.25">
      <c r="A612" s="5" t="str">
        <f>"6281022117356"</f>
        <v>6281022117356</v>
      </c>
      <c r="B612" s="2" t="s">
        <v>2016</v>
      </c>
      <c r="C612" s="2" t="s">
        <v>2017</v>
      </c>
      <c r="D612" s="5" t="s">
        <v>15</v>
      </c>
      <c r="E612" s="5" t="s">
        <v>16</v>
      </c>
      <c r="F612" s="5" t="s">
        <v>17</v>
      </c>
      <c r="G612" s="5" t="s">
        <v>18</v>
      </c>
      <c r="H612" s="3" t="s">
        <v>59</v>
      </c>
      <c r="I612" s="3" t="s">
        <v>33</v>
      </c>
      <c r="J612" s="3" t="s">
        <v>130</v>
      </c>
      <c r="K612" s="5" t="s">
        <v>23</v>
      </c>
      <c r="L612" s="5">
        <v>4</v>
      </c>
      <c r="M612" s="2" t="s">
        <v>2018</v>
      </c>
    </row>
    <row r="613" spans="1:13" x14ac:dyDescent="0.25">
      <c r="A613" s="5" t="str">
        <f>"6281007038928"</f>
        <v>6281007038928</v>
      </c>
      <c r="B613" s="2" t="s">
        <v>2019</v>
      </c>
      <c r="C613" s="2" t="s">
        <v>2020</v>
      </c>
      <c r="D613" s="5" t="s">
        <v>15</v>
      </c>
      <c r="E613" s="5" t="s">
        <v>16</v>
      </c>
      <c r="F613" s="5" t="s">
        <v>17</v>
      </c>
      <c r="G613" s="5" t="s">
        <v>18</v>
      </c>
      <c r="H613" s="3" t="s">
        <v>32</v>
      </c>
      <c r="I613" s="3" t="s">
        <v>33</v>
      </c>
      <c r="J613" s="3" t="s">
        <v>561</v>
      </c>
      <c r="K613" s="5" t="s">
        <v>23</v>
      </c>
      <c r="L613" s="5">
        <v>1.5</v>
      </c>
      <c r="M613" s="2" t="s">
        <v>2021</v>
      </c>
    </row>
    <row r="614" spans="1:13" x14ac:dyDescent="0.25">
      <c r="A614" s="5" t="str">
        <f>"3073780593083"</f>
        <v>3073780593083</v>
      </c>
      <c r="B614" s="2" t="s">
        <v>2022</v>
      </c>
      <c r="C614" s="2" t="s">
        <v>2023</v>
      </c>
      <c r="D614" s="5" t="s">
        <v>15</v>
      </c>
      <c r="E614" s="5" t="s">
        <v>16</v>
      </c>
      <c r="F614" s="5" t="s">
        <v>17</v>
      </c>
      <c r="G614" s="5" t="s">
        <v>18</v>
      </c>
      <c r="H614" s="3" t="s">
        <v>425</v>
      </c>
      <c r="I614" s="3" t="s">
        <v>108</v>
      </c>
      <c r="J614" s="3" t="s">
        <v>427</v>
      </c>
      <c r="K614" s="5" t="s">
        <v>23</v>
      </c>
      <c r="L614" s="5">
        <v>18.95</v>
      </c>
      <c r="M614" s="2" t="s">
        <v>2024</v>
      </c>
    </row>
    <row r="615" spans="1:13" x14ac:dyDescent="0.25">
      <c r="A615" s="5" t="str">
        <f>"6281007046237"</f>
        <v>6281007046237</v>
      </c>
      <c r="B615" s="2" t="s">
        <v>2025</v>
      </c>
      <c r="C615" s="2" t="s">
        <v>2026</v>
      </c>
      <c r="D615" s="5" t="s">
        <v>15</v>
      </c>
      <c r="E615" s="5" t="s">
        <v>16</v>
      </c>
      <c r="F615" s="5" t="s">
        <v>17</v>
      </c>
      <c r="G615" s="5" t="s">
        <v>18</v>
      </c>
      <c r="H615" s="3" t="s">
        <v>32</v>
      </c>
      <c r="I615" s="3"/>
      <c r="J615" s="3"/>
      <c r="K615" s="5" t="s">
        <v>23</v>
      </c>
      <c r="L615" s="5">
        <v>1.75</v>
      </c>
      <c r="M615" s="2" t="s">
        <v>2027</v>
      </c>
    </row>
    <row r="616" spans="1:13" x14ac:dyDescent="0.25">
      <c r="A616" s="5" t="str">
        <f>"6281022114102"</f>
        <v>6281022114102</v>
      </c>
      <c r="B616" s="2" t="s">
        <v>2028</v>
      </c>
      <c r="C616" s="2" t="s">
        <v>2029</v>
      </c>
      <c r="D616" s="5" t="s">
        <v>15</v>
      </c>
      <c r="E616" s="5" t="s">
        <v>16</v>
      </c>
      <c r="F616" s="5" t="s">
        <v>17</v>
      </c>
      <c r="G616" s="5" t="s">
        <v>18</v>
      </c>
      <c r="H616" s="3"/>
      <c r="I616" s="3"/>
      <c r="J616" s="3" t="s">
        <v>2030</v>
      </c>
      <c r="K616" s="5" t="s">
        <v>23</v>
      </c>
      <c r="L616" s="5">
        <v>10.25</v>
      </c>
      <c r="M616" s="2" t="s">
        <v>2031</v>
      </c>
    </row>
    <row r="617" spans="1:13" x14ac:dyDescent="0.25">
      <c r="A617" s="5" t="str">
        <f>"6281007073134"</f>
        <v>6281007073134</v>
      </c>
      <c r="B617" s="2" t="s">
        <v>2032</v>
      </c>
      <c r="C617" s="2" t="s">
        <v>2033</v>
      </c>
      <c r="D617" s="5" t="s">
        <v>15</v>
      </c>
      <c r="E617" s="5" t="s">
        <v>16</v>
      </c>
      <c r="F617" s="5" t="s">
        <v>17</v>
      </c>
      <c r="G617" s="5" t="s">
        <v>18</v>
      </c>
      <c r="H617" s="3" t="s">
        <v>32</v>
      </c>
      <c r="I617" s="3"/>
      <c r="J617" s="3" t="s">
        <v>319</v>
      </c>
      <c r="K617" s="5" t="s">
        <v>23</v>
      </c>
      <c r="L617" s="5">
        <v>8.9499999999999993</v>
      </c>
      <c r="M617" s="2" t="s">
        <v>2034</v>
      </c>
    </row>
    <row r="618" spans="1:13" x14ac:dyDescent="0.25">
      <c r="A618" s="5" t="str">
        <f>"6253012912876"</f>
        <v>6253012912876</v>
      </c>
      <c r="B618" s="2" t="s">
        <v>2035</v>
      </c>
      <c r="C618" s="2" t="s">
        <v>2036</v>
      </c>
      <c r="D618" s="5" t="s">
        <v>15</v>
      </c>
      <c r="E618" s="5" t="s">
        <v>16</v>
      </c>
      <c r="F618" s="5" t="s">
        <v>17</v>
      </c>
      <c r="G618" s="5" t="s">
        <v>18</v>
      </c>
      <c r="H618" s="3"/>
      <c r="I618" s="3" t="s">
        <v>2037</v>
      </c>
      <c r="J618" s="3" t="s">
        <v>1216</v>
      </c>
      <c r="K618" s="5" t="s">
        <v>23</v>
      </c>
      <c r="L618" s="5">
        <v>21.75</v>
      </c>
      <c r="M618" s="2" t="s">
        <v>2038</v>
      </c>
    </row>
    <row r="619" spans="1:13" x14ac:dyDescent="0.25">
      <c r="A619" s="5" t="str">
        <f>"6281057004140"</f>
        <v>6281057004140</v>
      </c>
      <c r="B619" s="2" t="s">
        <v>2039</v>
      </c>
      <c r="C619" s="2" t="s">
        <v>2040</v>
      </c>
      <c r="D619" s="5" t="s">
        <v>15</v>
      </c>
      <c r="E619" s="5" t="s">
        <v>16</v>
      </c>
      <c r="F619" s="5" t="s">
        <v>17</v>
      </c>
      <c r="G619" s="5" t="s">
        <v>18</v>
      </c>
      <c r="H619" s="3" t="s">
        <v>44</v>
      </c>
      <c r="I619" s="3"/>
      <c r="J619" s="3" t="s">
        <v>1128</v>
      </c>
      <c r="K619" s="5" t="s">
        <v>23</v>
      </c>
      <c r="L619" s="5">
        <v>2.5</v>
      </c>
      <c r="M619" s="2" t="s">
        <v>2041</v>
      </c>
    </row>
    <row r="620" spans="1:13" x14ac:dyDescent="0.25">
      <c r="A620" s="5" t="str">
        <f>"6281123056240"</f>
        <v>6281123056240</v>
      </c>
      <c r="B620" s="2" t="s">
        <v>2042</v>
      </c>
      <c r="C620" s="2" t="s">
        <v>2043</v>
      </c>
      <c r="D620" s="5" t="s">
        <v>15</v>
      </c>
      <c r="E620" s="5" t="s">
        <v>16</v>
      </c>
      <c r="F620" s="5" t="s">
        <v>17</v>
      </c>
      <c r="G620" s="5" t="s">
        <v>18</v>
      </c>
      <c r="H620" s="3" t="s">
        <v>2044</v>
      </c>
      <c r="I620" s="3"/>
      <c r="J620" s="3" t="s">
        <v>2045</v>
      </c>
      <c r="K620" s="5" t="s">
        <v>23</v>
      </c>
      <c r="L620" s="5">
        <v>9</v>
      </c>
      <c r="M620" s="2" t="s">
        <v>2046</v>
      </c>
    </row>
    <row r="621" spans="1:13" x14ac:dyDescent="0.25">
      <c r="A621" s="5" t="str">
        <f>"6281022135206"</f>
        <v>6281022135206</v>
      </c>
      <c r="B621" s="2" t="s">
        <v>2047</v>
      </c>
      <c r="C621" s="2" t="s">
        <v>2048</v>
      </c>
      <c r="D621" s="5" t="s">
        <v>15</v>
      </c>
      <c r="E621" s="5" t="s">
        <v>16</v>
      </c>
      <c r="F621" s="5" t="s">
        <v>17</v>
      </c>
      <c r="G621" s="5" t="s">
        <v>18</v>
      </c>
      <c r="H621" s="3" t="s">
        <v>184</v>
      </c>
      <c r="I621" s="3"/>
      <c r="J621" s="3" t="s">
        <v>354</v>
      </c>
      <c r="K621" s="5" t="s">
        <v>23</v>
      </c>
      <c r="L621" s="5">
        <v>6.5</v>
      </c>
      <c r="M621" s="2" t="s">
        <v>2049</v>
      </c>
    </row>
    <row r="622" spans="1:13" x14ac:dyDescent="0.25">
      <c r="A622" s="5" t="str">
        <f>"3073780970198"</f>
        <v>3073780970198</v>
      </c>
      <c r="B622" s="2" t="s">
        <v>2050</v>
      </c>
      <c r="C622" s="2" t="s">
        <v>2051</v>
      </c>
      <c r="D622" s="5" t="s">
        <v>15</v>
      </c>
      <c r="E622" s="5" t="s">
        <v>16</v>
      </c>
      <c r="F622" s="5" t="s">
        <v>17</v>
      </c>
      <c r="G622" s="5" t="s">
        <v>18</v>
      </c>
      <c r="H622" s="3" t="s">
        <v>425</v>
      </c>
      <c r="I622" s="3"/>
      <c r="J622" s="3"/>
      <c r="K622" s="5" t="s">
        <v>23</v>
      </c>
      <c r="L622" s="5">
        <v>26.75</v>
      </c>
      <c r="M622" s="2" t="s">
        <v>2052</v>
      </c>
    </row>
    <row r="623" spans="1:13" x14ac:dyDescent="0.25">
      <c r="A623" s="5" t="str">
        <f>"6281024116586"</f>
        <v>6281024116586</v>
      </c>
      <c r="B623" s="2" t="s">
        <v>2053</v>
      </c>
      <c r="C623" s="2" t="s">
        <v>2054</v>
      </c>
      <c r="D623" s="5" t="s">
        <v>15</v>
      </c>
      <c r="E623" s="5" t="s">
        <v>16</v>
      </c>
      <c r="F623" s="5" t="s">
        <v>17</v>
      </c>
      <c r="G623" s="5" t="s">
        <v>18</v>
      </c>
      <c r="H623" s="3"/>
      <c r="I623" s="3"/>
      <c r="J623" s="3"/>
      <c r="K623" s="5" t="s">
        <v>23</v>
      </c>
      <c r="L623" s="5">
        <v>22.75</v>
      </c>
      <c r="M623" s="2" t="s">
        <v>2055</v>
      </c>
    </row>
    <row r="624" spans="1:13" x14ac:dyDescent="0.25">
      <c r="A624" s="5" t="str">
        <f>"6281057000067"</f>
        <v>6281057000067</v>
      </c>
      <c r="B624" s="2" t="s">
        <v>2056</v>
      </c>
      <c r="C624" s="2" t="s">
        <v>2057</v>
      </c>
      <c r="D624" s="5" t="s">
        <v>15</v>
      </c>
      <c r="E624" s="5" t="s">
        <v>16</v>
      </c>
      <c r="F624" s="5" t="s">
        <v>17</v>
      </c>
      <c r="G624" s="5" t="s">
        <v>18</v>
      </c>
      <c r="H624" s="3" t="s">
        <v>44</v>
      </c>
      <c r="I624" s="3"/>
      <c r="J624" s="3"/>
      <c r="K624" s="5" t="s">
        <v>23</v>
      </c>
      <c r="L624" s="5">
        <v>2</v>
      </c>
      <c r="M624" s="2" t="s">
        <v>2058</v>
      </c>
    </row>
    <row r="625" spans="1:13" x14ac:dyDescent="0.25">
      <c r="A625" s="5" t="str">
        <f>"2141067000003"</f>
        <v>2141067000003</v>
      </c>
      <c r="B625" s="2" t="s">
        <v>2059</v>
      </c>
      <c r="C625" s="2" t="s">
        <v>2060</v>
      </c>
      <c r="D625" s="5" t="s">
        <v>15</v>
      </c>
      <c r="E625" s="5" t="s">
        <v>16</v>
      </c>
      <c r="F625" s="5" t="s">
        <v>17</v>
      </c>
      <c r="G625" s="5" t="s">
        <v>18</v>
      </c>
      <c r="H625" s="3" t="s">
        <v>819</v>
      </c>
      <c r="I625" s="3"/>
      <c r="J625" s="3"/>
      <c r="K625" s="5" t="s">
        <v>19</v>
      </c>
      <c r="L625" s="5">
        <v>99.95</v>
      </c>
      <c r="M625" s="2" t="s">
        <v>2061</v>
      </c>
    </row>
    <row r="626" spans="1:13" x14ac:dyDescent="0.25">
      <c r="A626" s="5" t="str">
        <f>"8001860183669"</f>
        <v>8001860183669</v>
      </c>
      <c r="B626" s="2" t="s">
        <v>2062</v>
      </c>
      <c r="C626" s="2" t="s">
        <v>2063</v>
      </c>
      <c r="D626" s="5" t="s">
        <v>15</v>
      </c>
      <c r="E626" s="5" t="s">
        <v>16</v>
      </c>
      <c r="F626" s="5" t="s">
        <v>17</v>
      </c>
      <c r="G626" s="5" t="s">
        <v>18</v>
      </c>
      <c r="H626" s="3" t="s">
        <v>2064</v>
      </c>
      <c r="I626" s="3"/>
      <c r="J626" s="3" t="s">
        <v>238</v>
      </c>
      <c r="K626" s="5" t="s">
        <v>23</v>
      </c>
      <c r="L626" s="5">
        <v>19.75</v>
      </c>
      <c r="M626" s="2" t="s">
        <v>2065</v>
      </c>
    </row>
    <row r="627" spans="1:13" x14ac:dyDescent="0.25">
      <c r="A627" s="5" t="str">
        <f>"6281007048729"</f>
        <v>6281007048729</v>
      </c>
      <c r="B627" s="2" t="s">
        <v>2066</v>
      </c>
      <c r="C627" s="2" t="s">
        <v>2067</v>
      </c>
      <c r="D627" s="5" t="s">
        <v>15</v>
      </c>
      <c r="E627" s="5" t="s">
        <v>16</v>
      </c>
      <c r="F627" s="5" t="s">
        <v>17</v>
      </c>
      <c r="G627" s="5" t="s">
        <v>18</v>
      </c>
      <c r="H627" s="3" t="s">
        <v>32</v>
      </c>
      <c r="I627" s="3"/>
      <c r="J627" s="3"/>
      <c r="K627" s="5" t="s">
        <v>23</v>
      </c>
      <c r="L627" s="5">
        <v>3</v>
      </c>
      <c r="M627" s="2" t="s">
        <v>2068</v>
      </c>
    </row>
    <row r="628" spans="1:13" x14ac:dyDescent="0.25">
      <c r="A628" s="5" t="str">
        <f>"6287007760388"</f>
        <v>6287007760388</v>
      </c>
      <c r="B628" s="2" t="s">
        <v>2069</v>
      </c>
      <c r="C628" s="2" t="s">
        <v>2070</v>
      </c>
      <c r="D628" s="5" t="s">
        <v>15</v>
      </c>
      <c r="E628" s="5" t="s">
        <v>16</v>
      </c>
      <c r="F628" s="5" t="s">
        <v>17</v>
      </c>
      <c r="G628" s="5" t="s">
        <v>18</v>
      </c>
      <c r="H628" s="3" t="s">
        <v>1472</v>
      </c>
      <c r="I628" s="3"/>
      <c r="J628" s="3" t="s">
        <v>28</v>
      </c>
      <c r="K628" s="5" t="s">
        <v>23</v>
      </c>
      <c r="L628" s="5">
        <v>50.75</v>
      </c>
      <c r="M628" s="2" t="s">
        <v>2071</v>
      </c>
    </row>
    <row r="629" spans="1:13" x14ac:dyDescent="0.25">
      <c r="A629" s="5" t="str">
        <f>"6281022125344"</f>
        <v>6281022125344</v>
      </c>
      <c r="B629" s="2" t="s">
        <v>2072</v>
      </c>
      <c r="C629" s="2" t="s">
        <v>2073</v>
      </c>
      <c r="D629" s="5" t="s">
        <v>15</v>
      </c>
      <c r="E629" s="5" t="s">
        <v>16</v>
      </c>
      <c r="F629" s="5" t="s">
        <v>17</v>
      </c>
      <c r="G629" s="5" t="s">
        <v>18</v>
      </c>
      <c r="H629" s="3"/>
      <c r="I629" s="3"/>
      <c r="J629" s="3"/>
      <c r="K629" s="5" t="s">
        <v>23</v>
      </c>
      <c r="L629" s="5">
        <v>8.5</v>
      </c>
      <c r="M629" s="2" t="s">
        <v>2074</v>
      </c>
    </row>
    <row r="630" spans="1:13" x14ac:dyDescent="0.25">
      <c r="A630" s="5" t="str">
        <f>"3073786155186"</f>
        <v>3073786155186</v>
      </c>
      <c r="B630" s="2" t="s">
        <v>2075</v>
      </c>
      <c r="C630" s="2" t="s">
        <v>2076</v>
      </c>
      <c r="D630" s="5" t="s">
        <v>15</v>
      </c>
      <c r="E630" s="5" t="s">
        <v>16</v>
      </c>
      <c r="F630" s="5" t="s">
        <v>17</v>
      </c>
      <c r="G630" s="5" t="s">
        <v>18</v>
      </c>
      <c r="H630" s="3" t="s">
        <v>425</v>
      </c>
      <c r="I630" s="3" t="s">
        <v>426</v>
      </c>
      <c r="J630" s="3" t="s">
        <v>675</v>
      </c>
      <c r="K630" s="5" t="s">
        <v>23</v>
      </c>
      <c r="L630" s="5">
        <v>5.95</v>
      </c>
      <c r="M630" s="2" t="s">
        <v>2077</v>
      </c>
    </row>
    <row r="631" spans="1:13" x14ac:dyDescent="0.25">
      <c r="A631" s="5" t="str">
        <f>"8022284001490"</f>
        <v>8022284001490</v>
      </c>
      <c r="B631" s="2" t="s">
        <v>2078</v>
      </c>
      <c r="C631" s="2" t="s">
        <v>2079</v>
      </c>
      <c r="D631" s="5" t="s">
        <v>15</v>
      </c>
      <c r="E631" s="5" t="s">
        <v>16</v>
      </c>
      <c r="F631" s="5" t="s">
        <v>17</v>
      </c>
      <c r="G631" s="5" t="s">
        <v>18</v>
      </c>
      <c r="H631" s="3"/>
      <c r="I631" s="3"/>
      <c r="J631" s="3" t="s">
        <v>28</v>
      </c>
      <c r="K631" s="5" t="s">
        <v>23</v>
      </c>
      <c r="L631" s="5">
        <v>31.25</v>
      </c>
      <c r="M631" s="2" t="s">
        <v>2080</v>
      </c>
    </row>
    <row r="632" spans="1:13" x14ac:dyDescent="0.25">
      <c r="A632" s="5" t="str">
        <f>"6281022151237"</f>
        <v>6281022151237</v>
      </c>
      <c r="B632" s="2" t="s">
        <v>2081</v>
      </c>
      <c r="C632" s="2" t="s">
        <v>2082</v>
      </c>
      <c r="D632" s="5" t="s">
        <v>15</v>
      </c>
      <c r="E632" s="5" t="s">
        <v>16</v>
      </c>
      <c r="F632" s="5" t="s">
        <v>17</v>
      </c>
      <c r="G632" s="5" t="s">
        <v>18</v>
      </c>
      <c r="H632" s="3"/>
      <c r="I632" s="3"/>
      <c r="J632" s="3" t="s">
        <v>1822</v>
      </c>
      <c r="K632" s="5" t="s">
        <v>23</v>
      </c>
      <c r="L632" s="5">
        <v>1.55</v>
      </c>
      <c r="M632" s="2" t="s">
        <v>2083</v>
      </c>
    </row>
    <row r="633" spans="1:13" x14ac:dyDescent="0.25">
      <c r="A633" s="5" t="str">
        <f>"6281007063838"</f>
        <v>6281007063838</v>
      </c>
      <c r="B633" s="2" t="s">
        <v>2084</v>
      </c>
      <c r="C633" s="2" t="s">
        <v>2085</v>
      </c>
      <c r="D633" s="5" t="s">
        <v>15</v>
      </c>
      <c r="E633" s="5" t="s">
        <v>16</v>
      </c>
      <c r="F633" s="5" t="s">
        <v>17</v>
      </c>
      <c r="G633" s="5" t="s">
        <v>18</v>
      </c>
      <c r="H633" s="3" t="s">
        <v>32</v>
      </c>
      <c r="I633" s="3" t="s">
        <v>33</v>
      </c>
      <c r="J633" s="3" t="s">
        <v>2086</v>
      </c>
      <c r="K633" s="5" t="s">
        <v>23</v>
      </c>
      <c r="L633" s="5">
        <v>8.75</v>
      </c>
      <c r="M633" s="2" t="s">
        <v>2087</v>
      </c>
    </row>
    <row r="634" spans="1:13" x14ac:dyDescent="0.25">
      <c r="A634" s="5" t="str">
        <f>"2140441000004"</f>
        <v>2140441000004</v>
      </c>
      <c r="B634" s="2" t="s">
        <v>2088</v>
      </c>
      <c r="C634" s="2" t="s">
        <v>2089</v>
      </c>
      <c r="D634" s="5" t="s">
        <v>15</v>
      </c>
      <c r="E634" s="5" t="s">
        <v>16</v>
      </c>
      <c r="F634" s="5" t="s">
        <v>17</v>
      </c>
      <c r="G634" s="5" t="s">
        <v>18</v>
      </c>
      <c r="H634" s="3"/>
      <c r="I634" s="3"/>
      <c r="J634" s="3"/>
      <c r="K634" s="5" t="s">
        <v>19</v>
      </c>
      <c r="L634" s="5">
        <v>60.95</v>
      </c>
      <c r="M634" s="2" t="s">
        <v>2090</v>
      </c>
    </row>
    <row r="635" spans="1:13" x14ac:dyDescent="0.25">
      <c r="A635" s="5" t="str">
        <f>"2143282000004"</f>
        <v>2143282000004</v>
      </c>
      <c r="B635" s="2" t="s">
        <v>2091</v>
      </c>
      <c r="C635" s="2" t="s">
        <v>2092</v>
      </c>
      <c r="D635" s="5" t="s">
        <v>15</v>
      </c>
      <c r="E635" s="5" t="s">
        <v>16</v>
      </c>
      <c r="F635" s="5" t="s">
        <v>17</v>
      </c>
      <c r="G635" s="5" t="s">
        <v>18</v>
      </c>
      <c r="H635" s="3"/>
      <c r="I635" s="3"/>
      <c r="J635" s="3"/>
      <c r="K635" s="5" t="s">
        <v>19</v>
      </c>
      <c r="L635" s="5">
        <v>25.45</v>
      </c>
      <c r="M635" s="2" t="s">
        <v>2093</v>
      </c>
    </row>
    <row r="636" spans="1:13" x14ac:dyDescent="0.25">
      <c r="A636" s="5" t="str">
        <f>"6281022120417"</f>
        <v>6281022120417</v>
      </c>
      <c r="B636" s="2" t="s">
        <v>2094</v>
      </c>
      <c r="C636" s="2" t="s">
        <v>2095</v>
      </c>
      <c r="D636" s="5" t="s">
        <v>15</v>
      </c>
      <c r="E636" s="5" t="s">
        <v>16</v>
      </c>
      <c r="F636" s="5" t="s">
        <v>17</v>
      </c>
      <c r="G636" s="5" t="s">
        <v>18</v>
      </c>
      <c r="H636" s="3"/>
      <c r="I636" s="3"/>
      <c r="J636" s="3"/>
      <c r="K636" s="5" t="s">
        <v>23</v>
      </c>
      <c r="L636" s="5">
        <v>5</v>
      </c>
      <c r="M636" s="2" t="s">
        <v>2096</v>
      </c>
    </row>
    <row r="637" spans="1:13" x14ac:dyDescent="0.25">
      <c r="A637" s="5" t="str">
        <f>"6281007060387"</f>
        <v>6281007060387</v>
      </c>
      <c r="B637" s="2" t="s">
        <v>2097</v>
      </c>
      <c r="C637" s="2" t="s">
        <v>2098</v>
      </c>
      <c r="D637" s="5" t="s">
        <v>15</v>
      </c>
      <c r="E637" s="5" t="s">
        <v>16</v>
      </c>
      <c r="F637" s="5" t="s">
        <v>17</v>
      </c>
      <c r="G637" s="5" t="s">
        <v>18</v>
      </c>
      <c r="H637" s="3" t="s">
        <v>32</v>
      </c>
      <c r="I637" s="3" t="s">
        <v>33</v>
      </c>
      <c r="J637" s="3" t="s">
        <v>1128</v>
      </c>
      <c r="K637" s="5" t="s">
        <v>23</v>
      </c>
      <c r="L637" s="5">
        <v>2.5</v>
      </c>
      <c r="M637" s="2" t="s">
        <v>2099</v>
      </c>
    </row>
    <row r="638" spans="1:13" x14ac:dyDescent="0.25">
      <c r="A638" s="5" t="str">
        <f>"6281024010716"</f>
        <v>6281024010716</v>
      </c>
      <c r="B638" s="2" t="s">
        <v>2100</v>
      </c>
      <c r="C638" s="2" t="s">
        <v>2101</v>
      </c>
      <c r="D638" s="5" t="s">
        <v>15</v>
      </c>
      <c r="E638" s="5" t="s">
        <v>16</v>
      </c>
      <c r="F638" s="5" t="s">
        <v>17</v>
      </c>
      <c r="G638" s="5" t="s">
        <v>18</v>
      </c>
      <c r="H638" s="3" t="s">
        <v>979</v>
      </c>
      <c r="I638" s="3"/>
      <c r="J638" s="3"/>
      <c r="K638" s="5" t="s">
        <v>23</v>
      </c>
      <c r="L638" s="5">
        <v>18.5</v>
      </c>
      <c r="M638" s="2" t="s">
        <v>2102</v>
      </c>
    </row>
    <row r="639" spans="1:13" x14ac:dyDescent="0.25">
      <c r="A639" s="5" t="str">
        <f>"6281018123682"</f>
        <v>6281018123682</v>
      </c>
      <c r="B639" s="2" t="s">
        <v>2103</v>
      </c>
      <c r="C639" s="2" t="s">
        <v>2104</v>
      </c>
      <c r="D639" s="5" t="s">
        <v>15</v>
      </c>
      <c r="E639" s="5" t="s">
        <v>16</v>
      </c>
      <c r="F639" s="5" t="s">
        <v>17</v>
      </c>
      <c r="G639" s="5" t="s">
        <v>18</v>
      </c>
      <c r="H639" s="3" t="s">
        <v>67</v>
      </c>
      <c r="I639" s="3"/>
      <c r="J639" s="3"/>
      <c r="K639" s="5" t="s">
        <v>23</v>
      </c>
      <c r="L639" s="5">
        <v>38.25</v>
      </c>
      <c r="M639" s="2" t="s">
        <v>2105</v>
      </c>
    </row>
    <row r="640" spans="1:13" x14ac:dyDescent="0.25">
      <c r="A640" s="5" t="str">
        <f>"2143499000002"</f>
        <v>2143499000002</v>
      </c>
      <c r="B640" s="2" t="s">
        <v>2106</v>
      </c>
      <c r="C640" s="2" t="s">
        <v>2107</v>
      </c>
      <c r="D640" s="5" t="s">
        <v>15</v>
      </c>
      <c r="E640" s="5" t="s">
        <v>16</v>
      </c>
      <c r="F640" s="5" t="s">
        <v>17</v>
      </c>
      <c r="G640" s="5" t="s">
        <v>18</v>
      </c>
      <c r="H640" s="3"/>
      <c r="I640" s="3"/>
      <c r="J640" s="3"/>
      <c r="K640" s="5" t="s">
        <v>19</v>
      </c>
      <c r="L640" s="5">
        <v>44.95</v>
      </c>
      <c r="M640" s="2" t="s">
        <v>2108</v>
      </c>
    </row>
    <row r="641" spans="1:13" x14ac:dyDescent="0.25">
      <c r="A641" s="5" t="str">
        <f>"6297000778785"</f>
        <v>6297000778785</v>
      </c>
      <c r="B641" s="2" t="s">
        <v>2109</v>
      </c>
      <c r="C641" s="2" t="s">
        <v>2110</v>
      </c>
      <c r="D641" s="5" t="s">
        <v>15</v>
      </c>
      <c r="E641" s="5" t="s">
        <v>16</v>
      </c>
      <c r="F641" s="5" t="s">
        <v>17</v>
      </c>
      <c r="G641" s="5" t="s">
        <v>18</v>
      </c>
      <c r="H641" s="3" t="s">
        <v>539</v>
      </c>
      <c r="I641" s="3"/>
      <c r="J641" s="3" t="s">
        <v>510</v>
      </c>
      <c r="K641" s="5" t="s">
        <v>23</v>
      </c>
      <c r="L641" s="5">
        <v>34</v>
      </c>
      <c r="M641" s="2" t="s">
        <v>2111</v>
      </c>
    </row>
    <row r="642" spans="1:13" x14ac:dyDescent="0.25">
      <c r="A642" s="5" t="str">
        <f>"5711953169120"</f>
        <v>5711953169120</v>
      </c>
      <c r="B642" s="2" t="s">
        <v>2112</v>
      </c>
      <c r="C642" s="2" t="s">
        <v>2113</v>
      </c>
      <c r="D642" s="5" t="s">
        <v>15</v>
      </c>
      <c r="E642" s="5" t="s">
        <v>16</v>
      </c>
      <c r="F642" s="5" t="s">
        <v>17</v>
      </c>
      <c r="G642" s="5" t="s">
        <v>18</v>
      </c>
      <c r="H642" s="3" t="s">
        <v>27</v>
      </c>
      <c r="I642" s="3"/>
      <c r="J642" s="3" t="s">
        <v>28</v>
      </c>
      <c r="K642" s="5" t="s">
        <v>23</v>
      </c>
      <c r="L642" s="5">
        <v>17</v>
      </c>
      <c r="M642" s="2" t="s">
        <v>2114</v>
      </c>
    </row>
    <row r="643" spans="1:13" x14ac:dyDescent="0.25">
      <c r="A643" s="5" t="str">
        <f>"6281020172685"</f>
        <v>6281020172685</v>
      </c>
      <c r="B643" s="2" t="s">
        <v>2115</v>
      </c>
      <c r="C643" s="2" t="s">
        <v>2116</v>
      </c>
      <c r="D643" s="5" t="s">
        <v>15</v>
      </c>
      <c r="E643" s="5" t="s">
        <v>16</v>
      </c>
      <c r="F643" s="5" t="s">
        <v>17</v>
      </c>
      <c r="G643" s="5" t="s">
        <v>18</v>
      </c>
      <c r="H643" s="3" t="s">
        <v>1146</v>
      </c>
      <c r="I643" s="3"/>
      <c r="J643" s="3"/>
      <c r="K643" s="5" t="s">
        <v>23</v>
      </c>
      <c r="L643" s="5">
        <v>30.25</v>
      </c>
      <c r="M643" s="2" t="s">
        <v>2117</v>
      </c>
    </row>
    <row r="644" spans="1:13" x14ac:dyDescent="0.25">
      <c r="A644" s="5" t="str">
        <f>"6281057050246"</f>
        <v>6281057050246</v>
      </c>
      <c r="B644" s="2" t="s">
        <v>2118</v>
      </c>
      <c r="C644" s="2" t="s">
        <v>2119</v>
      </c>
      <c r="D644" s="5" t="s">
        <v>15</v>
      </c>
      <c r="E644" s="5" t="s">
        <v>16</v>
      </c>
      <c r="F644" s="5" t="s">
        <v>17</v>
      </c>
      <c r="G644" s="5" t="s">
        <v>18</v>
      </c>
      <c r="H644" s="3" t="s">
        <v>44</v>
      </c>
      <c r="I644" s="3"/>
      <c r="J644" s="3" t="s">
        <v>2120</v>
      </c>
      <c r="K644" s="5" t="s">
        <v>23</v>
      </c>
      <c r="L644" s="5">
        <v>3.5</v>
      </c>
      <c r="M644" s="2" t="s">
        <v>2121</v>
      </c>
    </row>
    <row r="645" spans="1:13" x14ac:dyDescent="0.25">
      <c r="A645" s="5" t="str">
        <f>"6281026300006"</f>
        <v>6281026300006</v>
      </c>
      <c r="B645" s="2" t="s">
        <v>2122</v>
      </c>
      <c r="C645" s="2" t="s">
        <v>2123</v>
      </c>
      <c r="D645" s="5" t="s">
        <v>15</v>
      </c>
      <c r="E645" s="5" t="s">
        <v>16</v>
      </c>
      <c r="F645" s="5" t="s">
        <v>17</v>
      </c>
      <c r="G645" s="5" t="s">
        <v>18</v>
      </c>
      <c r="H645" s="3" t="s">
        <v>1041</v>
      </c>
      <c r="I645" s="3"/>
      <c r="J645" s="3"/>
      <c r="K645" s="5" t="s">
        <v>23</v>
      </c>
      <c r="L645" s="5">
        <v>6</v>
      </c>
      <c r="M645" s="2" t="s">
        <v>2124</v>
      </c>
    </row>
    <row r="646" spans="1:13" x14ac:dyDescent="0.25">
      <c r="A646" s="5" t="str">
        <f>"6281033305513"</f>
        <v>6281033305513</v>
      </c>
      <c r="B646" s="2" t="s">
        <v>2125</v>
      </c>
      <c r="C646" s="2" t="s">
        <v>2126</v>
      </c>
      <c r="D646" s="5" t="s">
        <v>15</v>
      </c>
      <c r="E646" s="5" t="s">
        <v>16</v>
      </c>
      <c r="F646" s="5" t="s">
        <v>17</v>
      </c>
      <c r="G646" s="5" t="s">
        <v>18</v>
      </c>
      <c r="H646" s="3" t="s">
        <v>2127</v>
      </c>
      <c r="I646" s="3" t="s">
        <v>33</v>
      </c>
      <c r="J646" s="3" t="s">
        <v>915</v>
      </c>
      <c r="K646" s="5" t="s">
        <v>23</v>
      </c>
      <c r="L646" s="5">
        <v>19.25</v>
      </c>
      <c r="M646" s="2" t="s">
        <v>2128</v>
      </c>
    </row>
    <row r="647" spans="1:13" x14ac:dyDescent="0.25">
      <c r="A647" s="5" t="str">
        <f>"6281024011102"</f>
        <v>6281024011102</v>
      </c>
      <c r="B647" s="2" t="s">
        <v>2129</v>
      </c>
      <c r="C647" s="2" t="s">
        <v>2130</v>
      </c>
      <c r="D647" s="5" t="s">
        <v>15</v>
      </c>
      <c r="E647" s="5" t="s">
        <v>16</v>
      </c>
      <c r="F647" s="5" t="s">
        <v>17</v>
      </c>
      <c r="G647" s="5" t="s">
        <v>18</v>
      </c>
      <c r="H647" s="3" t="s">
        <v>979</v>
      </c>
      <c r="I647" s="3"/>
      <c r="J647" s="3"/>
      <c r="K647" s="5" t="s">
        <v>23</v>
      </c>
      <c r="L647" s="5">
        <v>9.25</v>
      </c>
      <c r="M647" s="2" t="s">
        <v>2131</v>
      </c>
    </row>
    <row r="648" spans="1:13" x14ac:dyDescent="0.25">
      <c r="A648" s="5" t="str">
        <f>"9009301000369"</f>
        <v>9009301000369</v>
      </c>
      <c r="B648" s="2" t="s">
        <v>2132</v>
      </c>
      <c r="C648" s="2" t="s">
        <v>2133</v>
      </c>
      <c r="D648" s="5" t="s">
        <v>15</v>
      </c>
      <c r="E648" s="5" t="s">
        <v>16</v>
      </c>
      <c r="F648" s="5" t="s">
        <v>17</v>
      </c>
      <c r="G648" s="5" t="s">
        <v>18</v>
      </c>
      <c r="H648" s="3" t="s">
        <v>27</v>
      </c>
      <c r="I648" s="3"/>
      <c r="J648" s="3"/>
      <c r="K648" s="5" t="s">
        <v>23</v>
      </c>
      <c r="L648" s="5">
        <v>11.25</v>
      </c>
      <c r="M648" s="2" t="s">
        <v>2134</v>
      </c>
    </row>
    <row r="649" spans="1:13" x14ac:dyDescent="0.25">
      <c r="A649" s="5" t="str">
        <f>"6281007023511"</f>
        <v>6281007023511</v>
      </c>
      <c r="B649" s="2" t="s">
        <v>2135</v>
      </c>
      <c r="C649" s="2" t="s">
        <v>2136</v>
      </c>
      <c r="D649" s="5" t="s">
        <v>15</v>
      </c>
      <c r="E649" s="5" t="s">
        <v>16</v>
      </c>
      <c r="F649" s="5" t="s">
        <v>17</v>
      </c>
      <c r="G649" s="5" t="s">
        <v>18</v>
      </c>
      <c r="H649" s="3" t="s">
        <v>32</v>
      </c>
      <c r="I649" s="3" t="s">
        <v>33</v>
      </c>
      <c r="J649" s="3" t="s">
        <v>1080</v>
      </c>
      <c r="K649" s="5" t="s">
        <v>23</v>
      </c>
      <c r="L649" s="5">
        <v>3</v>
      </c>
      <c r="M649" s="2" t="s">
        <v>2137</v>
      </c>
    </row>
    <row r="650" spans="1:13" x14ac:dyDescent="0.25">
      <c r="A650" s="5" t="str">
        <f>"5290036003273"</f>
        <v>5290036003273</v>
      </c>
      <c r="B650" s="2" t="s">
        <v>2138</v>
      </c>
      <c r="C650" s="2" t="s">
        <v>2139</v>
      </c>
      <c r="D650" s="5" t="s">
        <v>15</v>
      </c>
      <c r="E650" s="5" t="s">
        <v>16</v>
      </c>
      <c r="F650" s="5" t="s">
        <v>17</v>
      </c>
      <c r="G650" s="5" t="s">
        <v>18</v>
      </c>
      <c r="H650" s="3" t="s">
        <v>83</v>
      </c>
      <c r="I650" s="3"/>
      <c r="J650" s="3"/>
      <c r="K650" s="5" t="s">
        <v>23</v>
      </c>
      <c r="L650" s="5">
        <v>19.5</v>
      </c>
      <c r="M650" s="2" t="s">
        <v>2140</v>
      </c>
    </row>
    <row r="651" spans="1:13" x14ac:dyDescent="0.25">
      <c r="A651" s="5" t="str">
        <f>"6281022180411"</f>
        <v>6281022180411</v>
      </c>
      <c r="B651" s="2" t="s">
        <v>2141</v>
      </c>
      <c r="C651" s="2" t="s">
        <v>2142</v>
      </c>
      <c r="D651" s="5" t="s">
        <v>15</v>
      </c>
      <c r="E651" s="5" t="s">
        <v>16</v>
      </c>
      <c r="F651" s="5" t="s">
        <v>17</v>
      </c>
      <c r="G651" s="5" t="s">
        <v>18</v>
      </c>
      <c r="H651" s="3"/>
      <c r="I651" s="3" t="s">
        <v>33</v>
      </c>
      <c r="J651" s="3" t="s">
        <v>238</v>
      </c>
      <c r="K651" s="5" t="s">
        <v>23</v>
      </c>
      <c r="L651" s="5">
        <v>6.5</v>
      </c>
      <c r="M651" s="2" t="s">
        <v>2143</v>
      </c>
    </row>
    <row r="652" spans="1:13" x14ac:dyDescent="0.25">
      <c r="A652" s="5" t="str">
        <f>"6281022115352"</f>
        <v>6281022115352</v>
      </c>
      <c r="B652" s="2" t="s">
        <v>2144</v>
      </c>
      <c r="C652" s="2" t="s">
        <v>2145</v>
      </c>
      <c r="D652" s="5" t="s">
        <v>15</v>
      </c>
      <c r="E652" s="5" t="s">
        <v>16</v>
      </c>
      <c r="F652" s="5" t="s">
        <v>17</v>
      </c>
      <c r="G652" s="5" t="s">
        <v>18</v>
      </c>
      <c r="H652" s="3"/>
      <c r="I652" s="3"/>
      <c r="J652" s="3"/>
      <c r="K652" s="5" t="s">
        <v>23</v>
      </c>
      <c r="L652" s="5">
        <v>8.5</v>
      </c>
      <c r="M652" s="2" t="s">
        <v>2146</v>
      </c>
    </row>
    <row r="653" spans="1:13" x14ac:dyDescent="0.25">
      <c r="A653" s="5" t="str">
        <f>"6281007029599"</f>
        <v>6281007029599</v>
      </c>
      <c r="B653" s="2" t="s">
        <v>2147</v>
      </c>
      <c r="C653" s="2" t="s">
        <v>2148</v>
      </c>
      <c r="D653" s="5" t="s">
        <v>15</v>
      </c>
      <c r="E653" s="5" t="s">
        <v>16</v>
      </c>
      <c r="F653" s="5" t="s">
        <v>17</v>
      </c>
      <c r="G653" s="5" t="s">
        <v>18</v>
      </c>
      <c r="H653" s="3" t="s">
        <v>32</v>
      </c>
      <c r="I653" s="3" t="s">
        <v>33</v>
      </c>
      <c r="J653" s="3" t="s">
        <v>2149</v>
      </c>
      <c r="K653" s="5" t="s">
        <v>23</v>
      </c>
      <c r="L653" s="5">
        <v>5.5</v>
      </c>
      <c r="M653" s="2" t="s">
        <v>2150</v>
      </c>
    </row>
    <row r="654" spans="1:13" x14ac:dyDescent="0.25">
      <c r="A654" s="5" t="str">
        <f>"5202390024894"</f>
        <v>5202390024894</v>
      </c>
      <c r="B654" s="2" t="s">
        <v>2151</v>
      </c>
      <c r="C654" s="2" t="s">
        <v>2152</v>
      </c>
      <c r="D654" s="5" t="s">
        <v>15</v>
      </c>
      <c r="E654" s="5" t="s">
        <v>16</v>
      </c>
      <c r="F654" s="5" t="s">
        <v>17</v>
      </c>
      <c r="G654" s="5" t="s">
        <v>18</v>
      </c>
      <c r="H654" s="3"/>
      <c r="I654" s="3"/>
      <c r="J654" s="3"/>
      <c r="K654" s="5" t="s">
        <v>23</v>
      </c>
      <c r="L654" s="5">
        <v>17.5</v>
      </c>
      <c r="M654" s="2" t="s">
        <v>2153</v>
      </c>
    </row>
    <row r="655" spans="1:13" x14ac:dyDescent="0.25">
      <c r="A655" s="5" t="str">
        <f>"5011056022545"</f>
        <v>5011056022545</v>
      </c>
      <c r="B655" s="2" t="s">
        <v>2154</v>
      </c>
      <c r="C655" s="2" t="s">
        <v>2155</v>
      </c>
      <c r="D655" s="5" t="s">
        <v>15</v>
      </c>
      <c r="E655" s="5" t="s">
        <v>16</v>
      </c>
      <c r="F655" s="5" t="s">
        <v>17</v>
      </c>
      <c r="G655" s="5" t="s">
        <v>18</v>
      </c>
      <c r="H655" s="3" t="s">
        <v>2156</v>
      </c>
      <c r="I655" s="3"/>
      <c r="J655" s="3" t="s">
        <v>238</v>
      </c>
      <c r="K655" s="5" t="s">
        <v>23</v>
      </c>
      <c r="L655" s="5">
        <v>24</v>
      </c>
      <c r="M655" s="2" t="s">
        <v>2157</v>
      </c>
    </row>
    <row r="656" spans="1:13" x14ac:dyDescent="0.25">
      <c r="A656" s="5" t="str">
        <f>"6281007060370"</f>
        <v>6281007060370</v>
      </c>
      <c r="B656" s="2" t="s">
        <v>2158</v>
      </c>
      <c r="C656" s="2" t="s">
        <v>2159</v>
      </c>
      <c r="D656" s="5" t="s">
        <v>15</v>
      </c>
      <c r="E656" s="5" t="s">
        <v>16</v>
      </c>
      <c r="F656" s="5" t="s">
        <v>17</v>
      </c>
      <c r="G656" s="5" t="s">
        <v>18</v>
      </c>
      <c r="H656" s="3" t="s">
        <v>32</v>
      </c>
      <c r="I656" s="3" t="s">
        <v>33</v>
      </c>
      <c r="J656" s="3" t="s">
        <v>1128</v>
      </c>
      <c r="K656" s="5" t="s">
        <v>23</v>
      </c>
      <c r="L656" s="5">
        <v>2.5</v>
      </c>
      <c r="M656" s="2" t="s">
        <v>2160</v>
      </c>
    </row>
    <row r="657" spans="1:13" x14ac:dyDescent="0.25">
      <c r="A657" s="5" t="str">
        <f>"6281022151251"</f>
        <v>6281022151251</v>
      </c>
      <c r="B657" s="2" t="s">
        <v>2161</v>
      </c>
      <c r="C657" s="2" t="s">
        <v>2162</v>
      </c>
      <c r="D657" s="5" t="s">
        <v>15</v>
      </c>
      <c r="E657" s="5" t="s">
        <v>16</v>
      </c>
      <c r="F657" s="5" t="s">
        <v>17</v>
      </c>
      <c r="G657" s="5" t="s">
        <v>18</v>
      </c>
      <c r="H657" s="3"/>
      <c r="I657" s="3"/>
      <c r="J657" s="3" t="s">
        <v>1822</v>
      </c>
      <c r="K657" s="5" t="s">
        <v>23</v>
      </c>
      <c r="L657" s="5">
        <v>1.55</v>
      </c>
      <c r="M657" s="2" t="s">
        <v>2163</v>
      </c>
    </row>
    <row r="658" spans="1:13" x14ac:dyDescent="0.25">
      <c r="A658" s="5" t="str">
        <f>"6281022110050"</f>
        <v>6281022110050</v>
      </c>
      <c r="B658" s="2" t="s">
        <v>2164</v>
      </c>
      <c r="C658" s="2" t="s">
        <v>2165</v>
      </c>
      <c r="D658" s="5" t="s">
        <v>15</v>
      </c>
      <c r="E658" s="5" t="s">
        <v>16</v>
      </c>
      <c r="F658" s="5" t="s">
        <v>17</v>
      </c>
      <c r="G658" s="5" t="s">
        <v>18</v>
      </c>
      <c r="H658" s="3"/>
      <c r="I658" s="3"/>
      <c r="J658" s="3"/>
      <c r="K658" s="5" t="s">
        <v>23</v>
      </c>
      <c r="L658" s="5">
        <v>8.5</v>
      </c>
      <c r="M658" s="2" t="s">
        <v>2166</v>
      </c>
    </row>
    <row r="659" spans="1:13" x14ac:dyDescent="0.25">
      <c r="A659" s="5" t="str">
        <f>"2143311000005"</f>
        <v>2143311000005</v>
      </c>
      <c r="B659" s="2" t="s">
        <v>2167</v>
      </c>
      <c r="C659" s="2" t="s">
        <v>2168</v>
      </c>
      <c r="D659" s="5" t="s">
        <v>15</v>
      </c>
      <c r="E659" s="5" t="s">
        <v>16</v>
      </c>
      <c r="F659" s="5" t="s">
        <v>17</v>
      </c>
      <c r="G659" s="5" t="s">
        <v>18</v>
      </c>
      <c r="H659" s="3"/>
      <c r="I659" s="3"/>
      <c r="J659" s="3"/>
      <c r="K659" s="5" t="s">
        <v>19</v>
      </c>
      <c r="L659" s="5">
        <v>84.95</v>
      </c>
      <c r="M659" s="2" t="s">
        <v>2169</v>
      </c>
    </row>
    <row r="660" spans="1:13" x14ac:dyDescent="0.25">
      <c r="A660" s="5" t="str">
        <f>"5711953164071"</f>
        <v>5711953164071</v>
      </c>
      <c r="B660" s="2" t="s">
        <v>2170</v>
      </c>
      <c r="C660" s="2" t="s">
        <v>2171</v>
      </c>
      <c r="D660" s="5" t="s">
        <v>15</v>
      </c>
      <c r="E660" s="5" t="s">
        <v>16</v>
      </c>
      <c r="F660" s="5" t="s">
        <v>17</v>
      </c>
      <c r="G660" s="5" t="s">
        <v>18</v>
      </c>
      <c r="H660" s="3" t="s">
        <v>27</v>
      </c>
      <c r="I660" s="3" t="s">
        <v>174</v>
      </c>
      <c r="J660" s="3" t="s">
        <v>2172</v>
      </c>
      <c r="K660" s="5" t="s">
        <v>23</v>
      </c>
      <c r="L660" s="5">
        <v>7</v>
      </c>
      <c r="M660" s="2" t="s">
        <v>2173</v>
      </c>
    </row>
    <row r="661" spans="1:13" x14ac:dyDescent="0.25">
      <c r="A661" s="5" t="str">
        <f>"6281057002702"</f>
        <v>6281057002702</v>
      </c>
      <c r="B661" s="2" t="s">
        <v>2174</v>
      </c>
      <c r="C661" s="2" t="s">
        <v>2175</v>
      </c>
      <c r="D661" s="5" t="s">
        <v>15</v>
      </c>
      <c r="E661" s="5" t="s">
        <v>16</v>
      </c>
      <c r="F661" s="5" t="s">
        <v>17</v>
      </c>
      <c r="G661" s="5" t="s">
        <v>18</v>
      </c>
      <c r="H661" s="3" t="s">
        <v>44</v>
      </c>
      <c r="I661" s="3"/>
      <c r="J661" s="3"/>
      <c r="K661" s="5" t="s">
        <v>23</v>
      </c>
      <c r="L661" s="5">
        <v>3</v>
      </c>
      <c r="M661" s="2" t="s">
        <v>2176</v>
      </c>
    </row>
    <row r="662" spans="1:13" x14ac:dyDescent="0.25">
      <c r="A662" s="5" t="str">
        <f>"6281022105193"</f>
        <v>6281022105193</v>
      </c>
      <c r="B662" s="2" t="s">
        <v>2177</v>
      </c>
      <c r="C662" s="2" t="s">
        <v>2178</v>
      </c>
      <c r="D662" s="5" t="s">
        <v>15</v>
      </c>
      <c r="E662" s="5" t="s">
        <v>16</v>
      </c>
      <c r="F662" s="5" t="s">
        <v>17</v>
      </c>
      <c r="G662" s="5" t="s">
        <v>18</v>
      </c>
      <c r="H662" s="3"/>
      <c r="I662" s="3"/>
      <c r="J662" s="3" t="s">
        <v>1285</v>
      </c>
      <c r="K662" s="5" t="s">
        <v>23</v>
      </c>
      <c r="L662" s="5">
        <v>7.25</v>
      </c>
      <c r="M662" s="2" t="s">
        <v>2179</v>
      </c>
    </row>
    <row r="663" spans="1:13" x14ac:dyDescent="0.25">
      <c r="A663" s="5" t="str">
        <f>"6281051002180"</f>
        <v>6281051002180</v>
      </c>
      <c r="B663" s="2" t="s">
        <v>2180</v>
      </c>
      <c r="C663" s="2" t="s">
        <v>2181</v>
      </c>
      <c r="D663" s="5" t="s">
        <v>15</v>
      </c>
      <c r="E663" s="5" t="s">
        <v>16</v>
      </c>
      <c r="F663" s="5" t="s">
        <v>17</v>
      </c>
      <c r="G663" s="5" t="s">
        <v>18</v>
      </c>
      <c r="H663" s="3" t="s">
        <v>83</v>
      </c>
      <c r="I663" s="3"/>
      <c r="J663" s="3"/>
      <c r="K663" s="5" t="s">
        <v>23</v>
      </c>
      <c r="L663" s="5">
        <v>11.25</v>
      </c>
      <c r="M663" s="2" t="s">
        <v>2182</v>
      </c>
    </row>
    <row r="664" spans="1:13" x14ac:dyDescent="0.25">
      <c r="A664" s="5" t="str">
        <f>"6287007030016"</f>
        <v>6287007030016</v>
      </c>
      <c r="B664" s="2" t="s">
        <v>2183</v>
      </c>
      <c r="C664" s="2" t="s">
        <v>2184</v>
      </c>
      <c r="D664" s="5" t="s">
        <v>15</v>
      </c>
      <c r="E664" s="5" t="s">
        <v>16</v>
      </c>
      <c r="F664" s="5" t="s">
        <v>17</v>
      </c>
      <c r="G664" s="5" t="s">
        <v>18</v>
      </c>
      <c r="H664" s="3" t="s">
        <v>1150</v>
      </c>
      <c r="I664" s="3"/>
      <c r="J664" s="3"/>
      <c r="K664" s="5" t="s">
        <v>23</v>
      </c>
      <c r="L664" s="5">
        <v>5.95</v>
      </c>
      <c r="M664" s="2" t="s">
        <v>2185</v>
      </c>
    </row>
    <row r="665" spans="1:13" x14ac:dyDescent="0.25">
      <c r="A665" s="5" t="str">
        <f>"5740900867208"</f>
        <v>5740900867208</v>
      </c>
      <c r="B665" s="2" t="s">
        <v>2186</v>
      </c>
      <c r="C665" s="2" t="s">
        <v>2187</v>
      </c>
      <c r="D665" s="5" t="s">
        <v>15</v>
      </c>
      <c r="E665" s="5" t="s">
        <v>16</v>
      </c>
      <c r="F665" s="5" t="s">
        <v>17</v>
      </c>
      <c r="G665" s="5" t="s">
        <v>18</v>
      </c>
      <c r="H665" s="3" t="s">
        <v>173</v>
      </c>
      <c r="I665" s="3"/>
      <c r="J665" s="3"/>
      <c r="K665" s="5" t="s">
        <v>23</v>
      </c>
      <c r="L665" s="5">
        <v>4.95</v>
      </c>
      <c r="M665" s="2" t="s">
        <v>2188</v>
      </c>
    </row>
    <row r="666" spans="1:13" x14ac:dyDescent="0.25">
      <c r="A666" s="5" t="str">
        <f>"6281007022835"</f>
        <v>6281007022835</v>
      </c>
      <c r="B666" s="2" t="s">
        <v>2189</v>
      </c>
      <c r="C666" s="2" t="s">
        <v>2190</v>
      </c>
      <c r="D666" s="5" t="s">
        <v>15</v>
      </c>
      <c r="E666" s="5" t="s">
        <v>16</v>
      </c>
      <c r="F666" s="5" t="s">
        <v>17</v>
      </c>
      <c r="G666" s="5" t="s">
        <v>18</v>
      </c>
      <c r="H666" s="3" t="s">
        <v>32</v>
      </c>
      <c r="I666" s="3"/>
      <c r="J666" s="3"/>
      <c r="K666" s="5" t="s">
        <v>23</v>
      </c>
      <c r="L666" s="5">
        <v>4.5</v>
      </c>
      <c r="M666" s="2" t="s">
        <v>2191</v>
      </c>
    </row>
    <row r="667" spans="1:13" x14ac:dyDescent="0.25">
      <c r="A667" s="5" t="str">
        <f>"6281024014219"</f>
        <v>6281024014219</v>
      </c>
      <c r="B667" s="2" t="s">
        <v>2192</v>
      </c>
      <c r="C667" s="2" t="s">
        <v>2193</v>
      </c>
      <c r="D667" s="5" t="s">
        <v>15</v>
      </c>
      <c r="E667" s="5" t="s">
        <v>16</v>
      </c>
      <c r="F667" s="5" t="s">
        <v>17</v>
      </c>
      <c r="G667" s="5" t="s">
        <v>18</v>
      </c>
      <c r="H667" s="3" t="s">
        <v>979</v>
      </c>
      <c r="I667" s="3"/>
      <c r="J667" s="3"/>
      <c r="K667" s="5" t="s">
        <v>23</v>
      </c>
      <c r="L667" s="5">
        <v>19.5</v>
      </c>
      <c r="M667" s="2" t="s">
        <v>2194</v>
      </c>
    </row>
    <row r="668" spans="1:13" x14ac:dyDescent="0.25">
      <c r="A668" s="5" t="str">
        <f>"6281007038959"</f>
        <v>6281007038959</v>
      </c>
      <c r="B668" s="2" t="s">
        <v>2195</v>
      </c>
      <c r="C668" s="2" t="s">
        <v>2196</v>
      </c>
      <c r="D668" s="5" t="s">
        <v>15</v>
      </c>
      <c r="E668" s="5" t="s">
        <v>16</v>
      </c>
      <c r="F668" s="5" t="s">
        <v>17</v>
      </c>
      <c r="G668" s="5" t="s">
        <v>18</v>
      </c>
      <c r="H668" s="3" t="s">
        <v>32</v>
      </c>
      <c r="I668" s="3" t="s">
        <v>33</v>
      </c>
      <c r="J668" s="3"/>
      <c r="K668" s="5" t="s">
        <v>23</v>
      </c>
      <c r="L668" s="5">
        <v>1.5</v>
      </c>
      <c r="M668" s="2" t="s">
        <v>2197</v>
      </c>
    </row>
    <row r="669" spans="1:13" x14ac:dyDescent="0.25">
      <c r="A669" s="5" t="str">
        <f>"6271002103011"</f>
        <v>6271002103011</v>
      </c>
      <c r="B669" s="2" t="s">
        <v>2198</v>
      </c>
      <c r="C669" s="2" t="s">
        <v>2199</v>
      </c>
      <c r="D669" s="5" t="s">
        <v>15</v>
      </c>
      <c r="E669" s="5" t="s">
        <v>16</v>
      </c>
      <c r="F669" s="5" t="s">
        <v>17</v>
      </c>
      <c r="G669" s="5" t="s">
        <v>18</v>
      </c>
      <c r="H669" s="3" t="s">
        <v>100</v>
      </c>
      <c r="I669" s="3"/>
      <c r="J669" s="3"/>
      <c r="K669" s="5" t="s">
        <v>23</v>
      </c>
      <c r="L669" s="5">
        <v>6</v>
      </c>
      <c r="M669" s="2" t="s">
        <v>2200</v>
      </c>
    </row>
    <row r="670" spans="1:13" x14ac:dyDescent="0.25">
      <c r="A670" s="5" t="str">
        <f>"6281057007660"</f>
        <v>6281057007660</v>
      </c>
      <c r="B670" s="2" t="s">
        <v>2201</v>
      </c>
      <c r="C670" s="2" t="s">
        <v>2202</v>
      </c>
      <c r="D670" s="5" t="s">
        <v>15</v>
      </c>
      <c r="E670" s="5" t="s">
        <v>16</v>
      </c>
      <c r="F670" s="5" t="s">
        <v>17</v>
      </c>
      <c r="G670" s="5" t="s">
        <v>18</v>
      </c>
      <c r="H670" s="3" t="s">
        <v>44</v>
      </c>
      <c r="I670" s="3"/>
      <c r="J670" s="3"/>
      <c r="K670" s="5" t="s">
        <v>23</v>
      </c>
      <c r="L670" s="5">
        <v>38</v>
      </c>
      <c r="M670" s="2" t="s">
        <v>2203</v>
      </c>
    </row>
    <row r="671" spans="1:13" x14ac:dyDescent="0.25">
      <c r="A671" s="5" t="str">
        <f>"6281057000210"</f>
        <v>6281057000210</v>
      </c>
      <c r="B671" s="2" t="s">
        <v>2204</v>
      </c>
      <c r="C671" s="2" t="s">
        <v>2205</v>
      </c>
      <c r="D671" s="5" t="s">
        <v>15</v>
      </c>
      <c r="E671" s="5" t="s">
        <v>16</v>
      </c>
      <c r="F671" s="5" t="s">
        <v>17</v>
      </c>
      <c r="G671" s="5" t="s">
        <v>18</v>
      </c>
      <c r="H671" s="3" t="s">
        <v>44</v>
      </c>
      <c r="I671" s="3"/>
      <c r="J671" s="3"/>
      <c r="K671" s="5" t="s">
        <v>23</v>
      </c>
      <c r="L671" s="5">
        <v>2</v>
      </c>
      <c r="M671" s="2" t="s">
        <v>2206</v>
      </c>
    </row>
    <row r="672" spans="1:13" x14ac:dyDescent="0.25">
      <c r="A672" s="5" t="str">
        <f>"6281057014101"</f>
        <v>6281057014101</v>
      </c>
      <c r="B672" s="2" t="s">
        <v>2207</v>
      </c>
      <c r="C672" s="2" t="s">
        <v>2208</v>
      </c>
      <c r="D672" s="5" t="s">
        <v>15</v>
      </c>
      <c r="E672" s="5" t="s">
        <v>16</v>
      </c>
      <c r="F672" s="5" t="s">
        <v>17</v>
      </c>
      <c r="G672" s="5" t="s">
        <v>18</v>
      </c>
      <c r="H672" s="3" t="s">
        <v>44</v>
      </c>
      <c r="I672" s="3"/>
      <c r="J672" s="3" t="s">
        <v>2209</v>
      </c>
      <c r="K672" s="5" t="s">
        <v>23</v>
      </c>
      <c r="L672" s="5">
        <v>13.25</v>
      </c>
      <c r="M672" s="2" t="s">
        <v>2210</v>
      </c>
    </row>
    <row r="673" spans="1:13" x14ac:dyDescent="0.25">
      <c r="A673" s="5" t="str">
        <f>"5711953040603"</f>
        <v>5711953040603</v>
      </c>
      <c r="B673" s="2" t="s">
        <v>2211</v>
      </c>
      <c r="C673" s="2" t="s">
        <v>2212</v>
      </c>
      <c r="D673" s="5" t="s">
        <v>15</v>
      </c>
      <c r="E673" s="5" t="s">
        <v>16</v>
      </c>
      <c r="F673" s="5" t="s">
        <v>17</v>
      </c>
      <c r="G673" s="5" t="s">
        <v>18</v>
      </c>
      <c r="H673" s="3" t="s">
        <v>27</v>
      </c>
      <c r="I673" s="3"/>
      <c r="J673" s="3" t="s">
        <v>577</v>
      </c>
      <c r="K673" s="5" t="s">
        <v>23</v>
      </c>
      <c r="L673" s="5">
        <v>16.95</v>
      </c>
      <c r="M673" s="2" t="s">
        <v>2213</v>
      </c>
    </row>
    <row r="674" spans="1:13" x14ac:dyDescent="0.25">
      <c r="A674" s="5" t="str">
        <f>"6297000670492"</f>
        <v>6297000670492</v>
      </c>
      <c r="B674" s="2" t="s">
        <v>2214</v>
      </c>
      <c r="C674" s="2" t="s">
        <v>2215</v>
      </c>
      <c r="D674" s="5" t="s">
        <v>15</v>
      </c>
      <c r="E674" s="5" t="s">
        <v>16</v>
      </c>
      <c r="F674" s="5" t="s">
        <v>17</v>
      </c>
      <c r="G674" s="5" t="s">
        <v>18</v>
      </c>
      <c r="H674" s="3" t="s">
        <v>539</v>
      </c>
      <c r="I674" s="3"/>
      <c r="J674" s="3" t="s">
        <v>354</v>
      </c>
      <c r="K674" s="5" t="s">
        <v>23</v>
      </c>
      <c r="L674" s="5">
        <v>6.95</v>
      </c>
      <c r="M674" s="2" t="s">
        <v>2216</v>
      </c>
    </row>
    <row r="675" spans="1:13" x14ac:dyDescent="0.25">
      <c r="A675" s="5" t="str">
        <f>"5202390021121"</f>
        <v>5202390021121</v>
      </c>
      <c r="B675" s="2" t="s">
        <v>2217</v>
      </c>
      <c r="C675" s="2" t="s">
        <v>2218</v>
      </c>
      <c r="D675" s="5" t="s">
        <v>15</v>
      </c>
      <c r="E675" s="5" t="s">
        <v>16</v>
      </c>
      <c r="F675" s="5" t="s">
        <v>17</v>
      </c>
      <c r="G675" s="5" t="s">
        <v>18</v>
      </c>
      <c r="H675" s="3"/>
      <c r="I675" s="3" t="s">
        <v>2219</v>
      </c>
      <c r="J675" s="3" t="s">
        <v>371</v>
      </c>
      <c r="K675" s="5" t="s">
        <v>23</v>
      </c>
      <c r="L675" s="5">
        <v>17.5</v>
      </c>
      <c r="M675" s="2" t="s">
        <v>2220</v>
      </c>
    </row>
    <row r="676" spans="1:13" x14ac:dyDescent="0.25">
      <c r="A676" s="5" t="str">
        <f>"6281039172713"</f>
        <v>6281039172713</v>
      </c>
      <c r="B676" s="2" t="s">
        <v>2221</v>
      </c>
      <c r="C676" s="2" t="s">
        <v>2222</v>
      </c>
      <c r="D676" s="5" t="s">
        <v>15</v>
      </c>
      <c r="E676" s="5" t="s">
        <v>16</v>
      </c>
      <c r="F676" s="5" t="s">
        <v>17</v>
      </c>
      <c r="G676" s="5" t="s">
        <v>18</v>
      </c>
      <c r="H676" s="3" t="s">
        <v>146</v>
      </c>
      <c r="I676" s="3"/>
      <c r="J676" s="3" t="s">
        <v>385</v>
      </c>
      <c r="K676" s="5" t="s">
        <v>23</v>
      </c>
      <c r="L676" s="5">
        <v>2</v>
      </c>
      <c r="M676" s="2" t="s">
        <v>2223</v>
      </c>
    </row>
    <row r="677" spans="1:13" x14ac:dyDescent="0.25">
      <c r="A677" s="5" t="str">
        <f>"6281057002528"</f>
        <v>6281057002528</v>
      </c>
      <c r="B677" s="2" t="s">
        <v>2224</v>
      </c>
      <c r="C677" s="2" t="s">
        <v>2225</v>
      </c>
      <c r="D677" s="5" t="s">
        <v>15</v>
      </c>
      <c r="E677" s="5" t="s">
        <v>16</v>
      </c>
      <c r="F677" s="5" t="s">
        <v>17</v>
      </c>
      <c r="G677" s="5" t="s">
        <v>18</v>
      </c>
      <c r="H677" s="3" t="s">
        <v>44</v>
      </c>
      <c r="I677" s="3"/>
      <c r="J677" s="3"/>
      <c r="K677" s="5" t="s">
        <v>23</v>
      </c>
      <c r="L677" s="5">
        <v>11.75</v>
      </c>
      <c r="M677" s="2" t="s">
        <v>2226</v>
      </c>
    </row>
    <row r="678" spans="1:13" x14ac:dyDescent="0.25">
      <c r="A678" s="5" t="str">
        <f>"6281039100938"</f>
        <v>6281039100938</v>
      </c>
      <c r="B678" s="2" t="s">
        <v>2227</v>
      </c>
      <c r="C678" s="2" t="s">
        <v>2228</v>
      </c>
      <c r="D678" s="5" t="s">
        <v>15</v>
      </c>
      <c r="E678" s="5" t="s">
        <v>16</v>
      </c>
      <c r="F678" s="5" t="s">
        <v>17</v>
      </c>
      <c r="G678" s="5" t="s">
        <v>18</v>
      </c>
      <c r="H678" s="3" t="s">
        <v>146</v>
      </c>
      <c r="I678" s="3"/>
      <c r="J678" s="3"/>
      <c r="K678" s="5" t="s">
        <v>23</v>
      </c>
      <c r="L678" s="5">
        <v>74.25</v>
      </c>
      <c r="M678" s="2" t="s">
        <v>2229</v>
      </c>
    </row>
    <row r="679" spans="1:13" x14ac:dyDescent="0.25">
      <c r="A679" s="5" t="str">
        <f>"6281020320932"</f>
        <v>6281020320932</v>
      </c>
      <c r="B679" s="2" t="s">
        <v>2230</v>
      </c>
      <c r="C679" s="2" t="s">
        <v>2231</v>
      </c>
      <c r="D679" s="5" t="s">
        <v>15</v>
      </c>
      <c r="E679" s="5" t="s">
        <v>16</v>
      </c>
      <c r="F679" s="5" t="s">
        <v>17</v>
      </c>
      <c r="G679" s="5" t="s">
        <v>18</v>
      </c>
      <c r="H679" s="3" t="s">
        <v>1146</v>
      </c>
      <c r="I679" s="3"/>
      <c r="J679" s="3" t="s">
        <v>2086</v>
      </c>
      <c r="K679" s="5" t="s">
        <v>23</v>
      </c>
      <c r="L679" s="5">
        <v>5.25</v>
      </c>
      <c r="M679" s="2" t="s">
        <v>2232</v>
      </c>
    </row>
    <row r="680" spans="1:13" x14ac:dyDescent="0.25">
      <c r="A680" s="5" t="str">
        <f>"6281039163414"</f>
        <v>6281039163414</v>
      </c>
      <c r="B680" s="2" t="s">
        <v>2233</v>
      </c>
      <c r="C680" s="2" t="s">
        <v>2234</v>
      </c>
      <c r="D680" s="5" t="s">
        <v>15</v>
      </c>
      <c r="E680" s="5" t="s">
        <v>16</v>
      </c>
      <c r="F680" s="5" t="s">
        <v>17</v>
      </c>
      <c r="G680" s="5" t="s">
        <v>18</v>
      </c>
      <c r="H680" s="3" t="s">
        <v>146</v>
      </c>
      <c r="I680" s="3"/>
      <c r="J680" s="3" t="s">
        <v>385</v>
      </c>
      <c r="K680" s="5" t="s">
        <v>23</v>
      </c>
      <c r="L680" s="5">
        <v>2</v>
      </c>
      <c r="M680" s="2" t="s">
        <v>2235</v>
      </c>
    </row>
    <row r="681" spans="1:13" x14ac:dyDescent="0.25">
      <c r="A681" s="5" t="str">
        <f>"6281039122015"</f>
        <v>6281039122015</v>
      </c>
      <c r="B681" s="2" t="s">
        <v>2236</v>
      </c>
      <c r="C681" s="2" t="s">
        <v>2237</v>
      </c>
      <c r="D681" s="5" t="s">
        <v>15</v>
      </c>
      <c r="E681" s="5" t="s">
        <v>16</v>
      </c>
      <c r="F681" s="5" t="s">
        <v>17</v>
      </c>
      <c r="G681" s="5" t="s">
        <v>18</v>
      </c>
      <c r="H681" s="3" t="s">
        <v>146</v>
      </c>
      <c r="I681" s="3"/>
      <c r="J681" s="3"/>
      <c r="K681" s="5" t="s">
        <v>23</v>
      </c>
      <c r="L681" s="5">
        <v>2</v>
      </c>
      <c r="M681" s="2" t="s">
        <v>2238</v>
      </c>
    </row>
    <row r="682" spans="1:13" x14ac:dyDescent="0.25">
      <c r="A682" s="5" t="str">
        <f>"2146316000001"</f>
        <v>2146316000001</v>
      </c>
      <c r="B682" s="2" t="s">
        <v>2239</v>
      </c>
      <c r="C682" s="2" t="s">
        <v>2240</v>
      </c>
      <c r="D682" s="5" t="s">
        <v>15</v>
      </c>
      <c r="E682" s="5" t="s">
        <v>16</v>
      </c>
      <c r="F682" s="5" t="s">
        <v>17</v>
      </c>
      <c r="G682" s="5" t="s">
        <v>18</v>
      </c>
      <c r="H682" s="3"/>
      <c r="I682" s="3"/>
      <c r="J682" s="3"/>
      <c r="K682" s="5" t="s">
        <v>19</v>
      </c>
      <c r="L682" s="5">
        <v>81.95</v>
      </c>
      <c r="M682" s="2" t="s">
        <v>2241</v>
      </c>
    </row>
    <row r="683" spans="1:13" x14ac:dyDescent="0.25">
      <c r="A683" s="5" t="str">
        <f>"6281007066204"</f>
        <v>6281007066204</v>
      </c>
      <c r="B683" s="2" t="s">
        <v>2242</v>
      </c>
      <c r="C683" s="2" t="s">
        <v>2243</v>
      </c>
      <c r="D683" s="5" t="s">
        <v>15</v>
      </c>
      <c r="E683" s="5" t="s">
        <v>16</v>
      </c>
      <c r="F683" s="5" t="s">
        <v>17</v>
      </c>
      <c r="G683" s="5" t="s">
        <v>18</v>
      </c>
      <c r="H683" s="3" t="s">
        <v>32</v>
      </c>
      <c r="I683" s="3"/>
      <c r="J683" s="3" t="s">
        <v>2244</v>
      </c>
      <c r="K683" s="5" t="s">
        <v>23</v>
      </c>
      <c r="L683" s="5">
        <v>6.5</v>
      </c>
      <c r="M683" s="2" t="s">
        <v>2245</v>
      </c>
    </row>
    <row r="684" spans="1:13" x14ac:dyDescent="0.25">
      <c r="A684" s="5" t="str">
        <f>"5711953040627"</f>
        <v>5711953040627</v>
      </c>
      <c r="B684" s="2" t="s">
        <v>2246</v>
      </c>
      <c r="C684" s="2" t="s">
        <v>2247</v>
      </c>
      <c r="D684" s="5" t="s">
        <v>15</v>
      </c>
      <c r="E684" s="5" t="s">
        <v>16</v>
      </c>
      <c r="F684" s="5" t="s">
        <v>17</v>
      </c>
      <c r="G684" s="5" t="s">
        <v>18</v>
      </c>
      <c r="H684" s="3" t="s">
        <v>27</v>
      </c>
      <c r="I684" s="3"/>
      <c r="J684" s="3" t="s">
        <v>577</v>
      </c>
      <c r="K684" s="5" t="s">
        <v>23</v>
      </c>
      <c r="L684" s="5">
        <v>16.95</v>
      </c>
      <c r="M684" s="2" t="s">
        <v>2248</v>
      </c>
    </row>
    <row r="685" spans="1:13" x14ac:dyDescent="0.25">
      <c r="A685" s="5" t="str">
        <f>"6287007760685"</f>
        <v>6287007760685</v>
      </c>
      <c r="B685" s="2" t="s">
        <v>2249</v>
      </c>
      <c r="C685" s="2" t="s">
        <v>2250</v>
      </c>
      <c r="D685" s="5" t="s">
        <v>15</v>
      </c>
      <c r="E685" s="5" t="s">
        <v>16</v>
      </c>
      <c r="F685" s="5" t="s">
        <v>17</v>
      </c>
      <c r="G685" s="5" t="s">
        <v>18</v>
      </c>
      <c r="H685" s="3" t="s">
        <v>1472</v>
      </c>
      <c r="I685" s="3"/>
      <c r="J685" s="3" t="s">
        <v>371</v>
      </c>
      <c r="K685" s="5" t="s">
        <v>23</v>
      </c>
      <c r="L685" s="5">
        <v>34.25</v>
      </c>
      <c r="M685" s="2" t="s">
        <v>2251</v>
      </c>
    </row>
    <row r="686" spans="1:13" x14ac:dyDescent="0.25">
      <c r="A686" s="5" t="str">
        <f>"6281039172317"</f>
        <v>6281039172317</v>
      </c>
      <c r="B686" s="2" t="s">
        <v>2252</v>
      </c>
      <c r="C686" s="2" t="s">
        <v>2253</v>
      </c>
      <c r="D686" s="5" t="s">
        <v>15</v>
      </c>
      <c r="E686" s="5" t="s">
        <v>16</v>
      </c>
      <c r="F686" s="5" t="s">
        <v>17</v>
      </c>
      <c r="G686" s="5" t="s">
        <v>18</v>
      </c>
      <c r="H686" s="3" t="s">
        <v>146</v>
      </c>
      <c r="I686" s="3"/>
      <c r="J686" s="3"/>
      <c r="K686" s="5" t="s">
        <v>23</v>
      </c>
      <c r="L686" s="5">
        <v>1.25</v>
      </c>
      <c r="M686" s="2" t="s">
        <v>2254</v>
      </c>
    </row>
    <row r="687" spans="1:13" x14ac:dyDescent="0.25">
      <c r="A687" s="5" t="str">
        <f>"6281063882800"</f>
        <v>6281063882800</v>
      </c>
      <c r="B687" s="2" t="s">
        <v>2255</v>
      </c>
      <c r="C687" s="2" t="s">
        <v>2256</v>
      </c>
      <c r="D687" s="5" t="s">
        <v>15</v>
      </c>
      <c r="E687" s="5" t="s">
        <v>16</v>
      </c>
      <c r="F687" s="5" t="s">
        <v>17</v>
      </c>
      <c r="G687" s="5" t="s">
        <v>18</v>
      </c>
      <c r="H687" s="3" t="s">
        <v>2257</v>
      </c>
      <c r="I687" s="3"/>
      <c r="J687" s="3"/>
      <c r="K687" s="5" t="s">
        <v>23</v>
      </c>
      <c r="L687" s="5">
        <v>20.5</v>
      </c>
      <c r="M687" s="2" t="s">
        <v>2258</v>
      </c>
    </row>
    <row r="688" spans="1:13" x14ac:dyDescent="0.25">
      <c r="A688" s="5" t="str">
        <f>"6281057015832"</f>
        <v>6281057015832</v>
      </c>
      <c r="B688" s="2" t="s">
        <v>2259</v>
      </c>
      <c r="C688" s="2" t="s">
        <v>2260</v>
      </c>
      <c r="D688" s="5" t="s">
        <v>15</v>
      </c>
      <c r="E688" s="5" t="s">
        <v>16</v>
      </c>
      <c r="F688" s="5" t="s">
        <v>17</v>
      </c>
      <c r="G688" s="5" t="s">
        <v>18</v>
      </c>
      <c r="H688" s="3" t="s">
        <v>44</v>
      </c>
      <c r="I688" s="3"/>
      <c r="J688" s="3" t="s">
        <v>2261</v>
      </c>
      <c r="K688" s="5" t="s">
        <v>23</v>
      </c>
      <c r="L688" s="5">
        <v>1.25</v>
      </c>
      <c r="M688" s="2" t="s">
        <v>2262</v>
      </c>
    </row>
    <row r="689" spans="1:13" x14ac:dyDescent="0.25">
      <c r="A689" s="5" t="str">
        <f>"6281057007004"</f>
        <v>6281057007004</v>
      </c>
      <c r="B689" s="2" t="s">
        <v>2263</v>
      </c>
      <c r="C689" s="2" t="s">
        <v>2264</v>
      </c>
      <c r="D689" s="5" t="s">
        <v>15</v>
      </c>
      <c r="E689" s="5" t="s">
        <v>16</v>
      </c>
      <c r="F689" s="5" t="s">
        <v>17</v>
      </c>
      <c r="G689" s="5" t="s">
        <v>18</v>
      </c>
      <c r="H689" s="3" t="s">
        <v>44</v>
      </c>
      <c r="I689" s="3"/>
      <c r="J689" s="3" t="s">
        <v>2265</v>
      </c>
      <c r="K689" s="5" t="s">
        <v>23</v>
      </c>
      <c r="L689" s="5">
        <v>1.25</v>
      </c>
      <c r="M689" s="2" t="s">
        <v>2266</v>
      </c>
    </row>
    <row r="690" spans="1:13" x14ac:dyDescent="0.25">
      <c r="A690" s="5" t="str">
        <f>"6281022134117"</f>
        <v>6281022134117</v>
      </c>
      <c r="B690" s="2" t="s">
        <v>2267</v>
      </c>
      <c r="C690" s="2" t="s">
        <v>2268</v>
      </c>
      <c r="D690" s="5" t="s">
        <v>15</v>
      </c>
      <c r="E690" s="5" t="s">
        <v>16</v>
      </c>
      <c r="F690" s="5" t="s">
        <v>17</v>
      </c>
      <c r="G690" s="5" t="s">
        <v>18</v>
      </c>
      <c r="H690" s="3"/>
      <c r="I690" s="3"/>
      <c r="J690" s="3" t="s">
        <v>1285</v>
      </c>
      <c r="K690" s="5" t="s">
        <v>23</v>
      </c>
      <c r="L690" s="5">
        <v>7.5</v>
      </c>
      <c r="M690" s="2" t="s">
        <v>2269</v>
      </c>
    </row>
    <row r="691" spans="1:13" x14ac:dyDescent="0.25">
      <c r="A691" s="5" t="str">
        <f>"6281057001149"</f>
        <v>6281057001149</v>
      </c>
      <c r="B691" s="2" t="s">
        <v>2270</v>
      </c>
      <c r="C691" s="2" t="s">
        <v>2271</v>
      </c>
      <c r="D691" s="5" t="s">
        <v>15</v>
      </c>
      <c r="E691" s="5" t="s">
        <v>16</v>
      </c>
      <c r="F691" s="5" t="s">
        <v>17</v>
      </c>
      <c r="G691" s="5" t="s">
        <v>18</v>
      </c>
      <c r="H691" s="3" t="s">
        <v>44</v>
      </c>
      <c r="I691" s="3"/>
      <c r="J691" s="3" t="s">
        <v>189</v>
      </c>
      <c r="K691" s="5" t="s">
        <v>23</v>
      </c>
      <c r="L691" s="5">
        <v>2</v>
      </c>
      <c r="M691" s="2" t="s">
        <v>2272</v>
      </c>
    </row>
    <row r="692" spans="1:13" x14ac:dyDescent="0.25">
      <c r="A692" s="5" t="str">
        <f>"6281020305335"</f>
        <v>6281020305335</v>
      </c>
      <c r="B692" s="2" t="s">
        <v>2273</v>
      </c>
      <c r="C692" s="2" t="s">
        <v>2274</v>
      </c>
      <c r="D692" s="5" t="s">
        <v>15</v>
      </c>
      <c r="E692" s="5" t="s">
        <v>16</v>
      </c>
      <c r="F692" s="5" t="s">
        <v>17</v>
      </c>
      <c r="G692" s="5" t="s">
        <v>18</v>
      </c>
      <c r="H692" s="3" t="s">
        <v>1146</v>
      </c>
      <c r="I692" s="3"/>
      <c r="J692" s="3"/>
      <c r="K692" s="5" t="s">
        <v>23</v>
      </c>
      <c r="L692" s="5">
        <v>23</v>
      </c>
      <c r="M692" s="2" t="s">
        <v>2275</v>
      </c>
    </row>
    <row r="693" spans="1:13" x14ac:dyDescent="0.25">
      <c r="A693" s="5" t="str">
        <f>"6281018110064"</f>
        <v>6281018110064</v>
      </c>
      <c r="B693" s="2" t="s">
        <v>2276</v>
      </c>
      <c r="C693" s="2" t="s">
        <v>2277</v>
      </c>
      <c r="D693" s="5" t="s">
        <v>15</v>
      </c>
      <c r="E693" s="5" t="s">
        <v>16</v>
      </c>
      <c r="F693" s="5" t="s">
        <v>17</v>
      </c>
      <c r="G693" s="5" t="s">
        <v>18</v>
      </c>
      <c r="H693" s="3" t="s">
        <v>67</v>
      </c>
      <c r="I693" s="3"/>
      <c r="J693" s="3"/>
      <c r="K693" s="5" t="s">
        <v>23</v>
      </c>
      <c r="L693" s="5">
        <v>5</v>
      </c>
      <c r="M693" s="2" t="s">
        <v>2278</v>
      </c>
    </row>
    <row r="694" spans="1:13" x14ac:dyDescent="0.25">
      <c r="A694" s="5" t="str">
        <f>"6287005740016"</f>
        <v>6287005740016</v>
      </c>
      <c r="B694" s="2" t="s">
        <v>2279</v>
      </c>
      <c r="C694" s="2" t="s">
        <v>2280</v>
      </c>
      <c r="D694" s="5" t="s">
        <v>15</v>
      </c>
      <c r="E694" s="5" t="s">
        <v>16</v>
      </c>
      <c r="F694" s="5" t="s">
        <v>17</v>
      </c>
      <c r="G694" s="5" t="s">
        <v>18</v>
      </c>
      <c r="H694" s="3"/>
      <c r="I694" s="3"/>
      <c r="J694" s="3" t="s">
        <v>375</v>
      </c>
      <c r="K694" s="5" t="s">
        <v>23</v>
      </c>
      <c r="L694" s="5">
        <v>5.75</v>
      </c>
      <c r="M694" s="2" t="s">
        <v>2281</v>
      </c>
    </row>
    <row r="695" spans="1:13" x14ac:dyDescent="0.25">
      <c r="A695" s="5" t="str">
        <f>"6281039171259"</f>
        <v>6281039171259</v>
      </c>
      <c r="B695" s="2" t="s">
        <v>2282</v>
      </c>
      <c r="C695" s="2" t="s">
        <v>2283</v>
      </c>
      <c r="D695" s="5" t="s">
        <v>15</v>
      </c>
      <c r="E695" s="5" t="s">
        <v>16</v>
      </c>
      <c r="F695" s="5" t="s">
        <v>17</v>
      </c>
      <c r="G695" s="5" t="s">
        <v>18</v>
      </c>
      <c r="H695" s="3" t="s">
        <v>146</v>
      </c>
      <c r="I695" s="3"/>
      <c r="J695" s="3"/>
      <c r="K695" s="5" t="s">
        <v>23</v>
      </c>
      <c r="L695" s="5">
        <v>31</v>
      </c>
      <c r="M695" s="2" t="s">
        <v>2284</v>
      </c>
    </row>
    <row r="696" spans="1:13" x14ac:dyDescent="0.25">
      <c r="A696" s="5" t="str">
        <f>"6271002190325"</f>
        <v>6271002190325</v>
      </c>
      <c r="B696" s="2" t="s">
        <v>2285</v>
      </c>
      <c r="C696" s="2" t="s">
        <v>2286</v>
      </c>
      <c r="D696" s="5" t="s">
        <v>15</v>
      </c>
      <c r="E696" s="5" t="s">
        <v>16</v>
      </c>
      <c r="F696" s="5" t="s">
        <v>17</v>
      </c>
      <c r="G696" s="5" t="s">
        <v>18</v>
      </c>
      <c r="H696" s="3" t="s">
        <v>100</v>
      </c>
      <c r="I696" s="3"/>
      <c r="J696" s="3"/>
      <c r="K696" s="5" t="s">
        <v>23</v>
      </c>
      <c r="L696" s="5">
        <v>30.5</v>
      </c>
      <c r="M696" s="2" t="s">
        <v>2287</v>
      </c>
    </row>
    <row r="697" spans="1:13" x14ac:dyDescent="0.25">
      <c r="A697" s="5" t="str">
        <f>"6281073160028"</f>
        <v>6281073160028</v>
      </c>
      <c r="B697" s="2" t="s">
        <v>2288</v>
      </c>
      <c r="C697" s="2" t="s">
        <v>2289</v>
      </c>
      <c r="D697" s="5" t="s">
        <v>15</v>
      </c>
      <c r="E697" s="5" t="s">
        <v>16</v>
      </c>
      <c r="F697" s="5" t="s">
        <v>17</v>
      </c>
      <c r="G697" s="5" t="s">
        <v>18</v>
      </c>
      <c r="H697" s="3" t="s">
        <v>1835</v>
      </c>
      <c r="I697" s="3"/>
      <c r="J697" s="3"/>
      <c r="K697" s="5" t="s">
        <v>23</v>
      </c>
      <c r="L697" s="5">
        <v>13.75</v>
      </c>
      <c r="M697" s="2" t="s">
        <v>2290</v>
      </c>
    </row>
    <row r="698" spans="1:13" x14ac:dyDescent="0.25">
      <c r="A698" s="5" t="str">
        <f>"8692971482637"</f>
        <v>8692971482637</v>
      </c>
      <c r="B698" s="2" t="s">
        <v>2291</v>
      </c>
      <c r="C698" s="2" t="s">
        <v>2292</v>
      </c>
      <c r="D698" s="5" t="s">
        <v>15</v>
      </c>
      <c r="E698" s="5" t="s">
        <v>16</v>
      </c>
      <c r="F698" s="5" t="s">
        <v>17</v>
      </c>
      <c r="G698" s="5" t="s">
        <v>18</v>
      </c>
      <c r="H698" s="3" t="s">
        <v>979</v>
      </c>
      <c r="I698" s="3"/>
      <c r="J698" s="3"/>
      <c r="K698" s="5" t="s">
        <v>23</v>
      </c>
      <c r="L698" s="5">
        <v>26.75</v>
      </c>
      <c r="M698" s="2" t="s">
        <v>2293</v>
      </c>
    </row>
    <row r="699" spans="1:13" x14ac:dyDescent="0.25">
      <c r="A699" s="5" t="str">
        <f>"6281018140467"</f>
        <v>6281018140467</v>
      </c>
      <c r="B699" s="2" t="s">
        <v>2294</v>
      </c>
      <c r="C699" s="2" t="s">
        <v>2295</v>
      </c>
      <c r="D699" s="5" t="s">
        <v>15</v>
      </c>
      <c r="E699" s="5" t="s">
        <v>16</v>
      </c>
      <c r="F699" s="5" t="s">
        <v>17</v>
      </c>
      <c r="G699" s="5" t="s">
        <v>18</v>
      </c>
      <c r="H699" s="3" t="s">
        <v>67</v>
      </c>
      <c r="I699" s="3" t="s">
        <v>33</v>
      </c>
      <c r="J699" s="3" t="s">
        <v>238</v>
      </c>
      <c r="K699" s="5" t="s">
        <v>23</v>
      </c>
      <c r="L699" s="5">
        <v>6.5</v>
      </c>
      <c r="M699" s="2" t="s">
        <v>2296</v>
      </c>
    </row>
    <row r="700" spans="1:13" x14ac:dyDescent="0.25">
      <c r="A700" s="5" t="str">
        <f>"6281022167139"</f>
        <v>6281022167139</v>
      </c>
      <c r="B700" s="2" t="s">
        <v>2297</v>
      </c>
      <c r="C700" s="2" t="s">
        <v>2298</v>
      </c>
      <c r="D700" s="5" t="s">
        <v>15</v>
      </c>
      <c r="E700" s="5" t="s">
        <v>16</v>
      </c>
      <c r="F700" s="5" t="s">
        <v>17</v>
      </c>
      <c r="G700" s="5" t="s">
        <v>18</v>
      </c>
      <c r="H700" s="3"/>
      <c r="I700" s="3"/>
      <c r="J700" s="3"/>
      <c r="K700" s="5" t="s">
        <v>23</v>
      </c>
      <c r="L700" s="5">
        <v>16.5</v>
      </c>
      <c r="M700" s="2" t="s">
        <v>2299</v>
      </c>
    </row>
    <row r="701" spans="1:13" x14ac:dyDescent="0.25">
      <c r="A701" s="5" t="str">
        <f>"6271002190127"</f>
        <v>6271002190127</v>
      </c>
      <c r="B701" s="2" t="s">
        <v>2300</v>
      </c>
      <c r="C701" s="2" t="s">
        <v>2301</v>
      </c>
      <c r="D701" s="5" t="s">
        <v>15</v>
      </c>
      <c r="E701" s="5" t="s">
        <v>16</v>
      </c>
      <c r="F701" s="5" t="s">
        <v>17</v>
      </c>
      <c r="G701" s="5" t="s">
        <v>18</v>
      </c>
      <c r="H701" s="3" t="s">
        <v>100</v>
      </c>
      <c r="I701" s="3"/>
      <c r="J701" s="3"/>
      <c r="K701" s="5" t="s">
        <v>23</v>
      </c>
      <c r="L701" s="5">
        <v>30.5</v>
      </c>
      <c r="M701" s="2" t="s">
        <v>2302</v>
      </c>
    </row>
    <row r="702" spans="1:13" x14ac:dyDescent="0.25">
      <c r="A702" s="5" t="str">
        <f>"9009301000352"</f>
        <v>9009301000352</v>
      </c>
      <c r="B702" s="2" t="s">
        <v>2303</v>
      </c>
      <c r="C702" s="2" t="s">
        <v>2304</v>
      </c>
      <c r="D702" s="5" t="s">
        <v>15</v>
      </c>
      <c r="E702" s="5" t="s">
        <v>16</v>
      </c>
      <c r="F702" s="5" t="s">
        <v>17</v>
      </c>
      <c r="G702" s="5" t="s">
        <v>18</v>
      </c>
      <c r="H702" s="3" t="s">
        <v>27</v>
      </c>
      <c r="I702" s="3"/>
      <c r="J702" s="3"/>
      <c r="K702" s="5" t="s">
        <v>23</v>
      </c>
      <c r="L702" s="5">
        <v>11.25</v>
      </c>
      <c r="M702" s="2" t="s">
        <v>2305</v>
      </c>
    </row>
    <row r="703" spans="1:13" x14ac:dyDescent="0.25">
      <c r="A703" s="5" t="str">
        <f>"6281033305537"</f>
        <v>6281033305537</v>
      </c>
      <c r="B703" s="2" t="s">
        <v>2306</v>
      </c>
      <c r="C703" s="2" t="s">
        <v>2307</v>
      </c>
      <c r="D703" s="5" t="s">
        <v>15</v>
      </c>
      <c r="E703" s="5" t="s">
        <v>16</v>
      </c>
      <c r="F703" s="5" t="s">
        <v>17</v>
      </c>
      <c r="G703" s="5" t="s">
        <v>18</v>
      </c>
      <c r="H703" s="3" t="s">
        <v>2127</v>
      </c>
      <c r="I703" s="3"/>
      <c r="J703" s="3"/>
      <c r="K703" s="5" t="s">
        <v>23</v>
      </c>
      <c r="L703" s="5">
        <v>19.25</v>
      </c>
      <c r="M703" s="2" t="s">
        <v>2308</v>
      </c>
    </row>
    <row r="704" spans="1:13" x14ac:dyDescent="0.25">
      <c r="A704" s="5" t="str">
        <f>"6281022118414"</f>
        <v>6281022118414</v>
      </c>
      <c r="B704" s="2" t="s">
        <v>2309</v>
      </c>
      <c r="C704" s="2" t="s">
        <v>2310</v>
      </c>
      <c r="D704" s="5" t="s">
        <v>15</v>
      </c>
      <c r="E704" s="5" t="s">
        <v>16</v>
      </c>
      <c r="F704" s="5" t="s">
        <v>17</v>
      </c>
      <c r="G704" s="5" t="s">
        <v>18</v>
      </c>
      <c r="H704" s="3" t="s">
        <v>59</v>
      </c>
      <c r="I704" s="3" t="s">
        <v>108</v>
      </c>
      <c r="J704" s="3" t="s">
        <v>2311</v>
      </c>
      <c r="K704" s="5" t="s">
        <v>23</v>
      </c>
      <c r="L704" s="5">
        <v>3.95</v>
      </c>
      <c r="M704" s="2" t="s">
        <v>2312</v>
      </c>
    </row>
    <row r="705" spans="1:13" x14ac:dyDescent="0.25">
      <c r="A705" s="5" t="str">
        <f>"6281073160684"</f>
        <v>6281073160684</v>
      </c>
      <c r="B705" s="2" t="s">
        <v>2313</v>
      </c>
      <c r="C705" s="2" t="s">
        <v>2314</v>
      </c>
      <c r="D705" s="5" t="s">
        <v>15</v>
      </c>
      <c r="E705" s="5" t="s">
        <v>16</v>
      </c>
      <c r="F705" s="5" t="s">
        <v>17</v>
      </c>
      <c r="G705" s="5" t="s">
        <v>18</v>
      </c>
      <c r="H705" s="3" t="s">
        <v>1835</v>
      </c>
      <c r="I705" s="3"/>
      <c r="J705" s="3"/>
      <c r="K705" s="5" t="s">
        <v>23</v>
      </c>
      <c r="L705" s="5">
        <v>20.5</v>
      </c>
      <c r="M705" s="2" t="s">
        <v>2315</v>
      </c>
    </row>
    <row r="706" spans="1:13" x14ac:dyDescent="0.25">
      <c r="A706" s="5" t="str">
        <f>"6281057000203"</f>
        <v>6281057000203</v>
      </c>
      <c r="B706" s="2" t="s">
        <v>2316</v>
      </c>
      <c r="C706" s="2" t="s">
        <v>2317</v>
      </c>
      <c r="D706" s="5" t="s">
        <v>15</v>
      </c>
      <c r="E706" s="5" t="s">
        <v>16</v>
      </c>
      <c r="F706" s="5" t="s">
        <v>17</v>
      </c>
      <c r="G706" s="5" t="s">
        <v>18</v>
      </c>
      <c r="H706" s="3" t="s">
        <v>44</v>
      </c>
      <c r="I706" s="3"/>
      <c r="J706" s="3"/>
      <c r="K706" s="5" t="s">
        <v>23</v>
      </c>
      <c r="L706" s="5">
        <v>2</v>
      </c>
      <c r="M706" s="2" t="s">
        <v>2318</v>
      </c>
    </row>
    <row r="707" spans="1:13" x14ac:dyDescent="0.25">
      <c r="A707" s="5" t="str">
        <f>"6281007168205"</f>
        <v>6281007168205</v>
      </c>
      <c r="B707" s="2" t="s">
        <v>2319</v>
      </c>
      <c r="C707" s="2" t="s">
        <v>2320</v>
      </c>
      <c r="D707" s="5" t="s">
        <v>15</v>
      </c>
      <c r="E707" s="5" t="s">
        <v>16</v>
      </c>
      <c r="F707" s="5" t="s">
        <v>17</v>
      </c>
      <c r="G707" s="5" t="s">
        <v>18</v>
      </c>
      <c r="H707" s="3" t="s">
        <v>32</v>
      </c>
      <c r="I707" s="3" t="s">
        <v>33</v>
      </c>
      <c r="J707" s="3" t="s">
        <v>2086</v>
      </c>
      <c r="K707" s="5" t="s">
        <v>23</v>
      </c>
      <c r="L707" s="5">
        <v>7.75</v>
      </c>
      <c r="M707" s="2" t="s">
        <v>2321</v>
      </c>
    </row>
    <row r="708" spans="1:13" x14ac:dyDescent="0.25">
      <c r="A708" s="5" t="str">
        <f>"6281057007370"</f>
        <v>6281057007370</v>
      </c>
      <c r="B708" s="2" t="s">
        <v>2322</v>
      </c>
      <c r="C708" s="2" t="s">
        <v>2323</v>
      </c>
      <c r="D708" s="5" t="s">
        <v>15</v>
      </c>
      <c r="E708" s="5" t="s">
        <v>16</v>
      </c>
      <c r="F708" s="5" t="s">
        <v>17</v>
      </c>
      <c r="G708" s="5" t="s">
        <v>18</v>
      </c>
      <c r="H708" s="3" t="s">
        <v>44</v>
      </c>
      <c r="I708" s="3"/>
      <c r="J708" s="3"/>
      <c r="K708" s="5" t="s">
        <v>23</v>
      </c>
      <c r="L708" s="5">
        <v>37.25</v>
      </c>
      <c r="M708" s="2" t="s">
        <v>2324</v>
      </c>
    </row>
    <row r="709" spans="1:13" x14ac:dyDescent="0.25">
      <c r="A709" s="5" t="str">
        <f>"6281007044936"</f>
        <v>6281007044936</v>
      </c>
      <c r="B709" s="2" t="s">
        <v>2325</v>
      </c>
      <c r="C709" s="2" t="s">
        <v>2326</v>
      </c>
      <c r="D709" s="5" t="s">
        <v>15</v>
      </c>
      <c r="E709" s="5" t="s">
        <v>16</v>
      </c>
      <c r="F709" s="5" t="s">
        <v>17</v>
      </c>
      <c r="G709" s="5" t="s">
        <v>18</v>
      </c>
      <c r="H709" s="3" t="s">
        <v>32</v>
      </c>
      <c r="I709" s="3" t="s">
        <v>33</v>
      </c>
      <c r="J709" s="3" t="s">
        <v>2327</v>
      </c>
      <c r="K709" s="5" t="s">
        <v>23</v>
      </c>
      <c r="L709" s="5">
        <v>44</v>
      </c>
      <c r="M709" s="2" t="s">
        <v>2328</v>
      </c>
    </row>
    <row r="710" spans="1:13" x14ac:dyDescent="0.25">
      <c r="A710" s="5" t="str">
        <f>"8692971482644"</f>
        <v>8692971482644</v>
      </c>
      <c r="B710" s="2" t="s">
        <v>2329</v>
      </c>
      <c r="C710" s="2" t="s">
        <v>2330</v>
      </c>
      <c r="D710" s="5" t="s">
        <v>15</v>
      </c>
      <c r="E710" s="5" t="s">
        <v>16</v>
      </c>
      <c r="F710" s="5" t="s">
        <v>17</v>
      </c>
      <c r="G710" s="5" t="s">
        <v>18</v>
      </c>
      <c r="H710" s="3" t="s">
        <v>979</v>
      </c>
      <c r="I710" s="3"/>
      <c r="J710" s="3"/>
      <c r="K710" s="5" t="s">
        <v>23</v>
      </c>
      <c r="L710" s="5">
        <v>23.75</v>
      </c>
      <c r="M710" s="2" t="s">
        <v>2331</v>
      </c>
    </row>
    <row r="711" spans="1:13" x14ac:dyDescent="0.25">
      <c r="A711" s="5" t="str">
        <f>"6281100500391"</f>
        <v>6281100500391</v>
      </c>
      <c r="B711" s="2" t="s">
        <v>2332</v>
      </c>
      <c r="C711" s="2" t="s">
        <v>2333</v>
      </c>
      <c r="D711" s="5" t="s">
        <v>15</v>
      </c>
      <c r="E711" s="5" t="s">
        <v>16</v>
      </c>
      <c r="F711" s="5" t="s">
        <v>17</v>
      </c>
      <c r="G711" s="5" t="s">
        <v>18</v>
      </c>
      <c r="H711" s="3" t="s">
        <v>466</v>
      </c>
      <c r="I711" s="3"/>
      <c r="J711" s="3"/>
      <c r="K711" s="5" t="s">
        <v>23</v>
      </c>
      <c r="L711" s="5">
        <v>9.75</v>
      </c>
      <c r="M711" s="2" t="s">
        <v>2334</v>
      </c>
    </row>
    <row r="712" spans="1:13" x14ac:dyDescent="0.25">
      <c r="A712" s="5" t="str">
        <f>"6281039175318"</f>
        <v>6281039175318</v>
      </c>
      <c r="B712" s="2" t="s">
        <v>2335</v>
      </c>
      <c r="C712" s="2" t="s">
        <v>2336</v>
      </c>
      <c r="D712" s="5" t="s">
        <v>15</v>
      </c>
      <c r="E712" s="5" t="s">
        <v>16</v>
      </c>
      <c r="F712" s="5" t="s">
        <v>17</v>
      </c>
      <c r="G712" s="5" t="s">
        <v>18</v>
      </c>
      <c r="H712" s="3" t="s">
        <v>146</v>
      </c>
      <c r="I712" s="3"/>
      <c r="J712" s="3" t="s">
        <v>385</v>
      </c>
      <c r="K712" s="5" t="s">
        <v>23</v>
      </c>
      <c r="L712" s="5">
        <v>2.15</v>
      </c>
      <c r="M712" s="2" t="s">
        <v>2337</v>
      </c>
    </row>
    <row r="713" spans="1:13" x14ac:dyDescent="0.25">
      <c r="A713" s="5" t="str">
        <f>"6281057015863"</f>
        <v>6281057015863</v>
      </c>
      <c r="B713" s="2" t="s">
        <v>2338</v>
      </c>
      <c r="C713" s="2" t="s">
        <v>2339</v>
      </c>
      <c r="D713" s="5" t="s">
        <v>15</v>
      </c>
      <c r="E713" s="5" t="s">
        <v>16</v>
      </c>
      <c r="F713" s="5" t="s">
        <v>17</v>
      </c>
      <c r="G713" s="5" t="s">
        <v>18</v>
      </c>
      <c r="H713" s="3" t="s">
        <v>44</v>
      </c>
      <c r="I713" s="3"/>
      <c r="J713" s="3" t="s">
        <v>2340</v>
      </c>
      <c r="K713" s="5" t="s">
        <v>23</v>
      </c>
      <c r="L713" s="5">
        <v>23</v>
      </c>
      <c r="M713" s="2" t="s">
        <v>2341</v>
      </c>
    </row>
    <row r="714" spans="1:13" x14ac:dyDescent="0.25">
      <c r="A714" s="5" t="str">
        <f>"6281100500308"</f>
        <v>6281100500308</v>
      </c>
      <c r="B714" s="2" t="s">
        <v>2342</v>
      </c>
      <c r="C714" s="2" t="s">
        <v>2343</v>
      </c>
      <c r="D714" s="5" t="s">
        <v>15</v>
      </c>
      <c r="E714" s="5" t="s">
        <v>16</v>
      </c>
      <c r="F714" s="5" t="s">
        <v>17</v>
      </c>
      <c r="G714" s="5" t="s">
        <v>18</v>
      </c>
      <c r="H714" s="3" t="s">
        <v>466</v>
      </c>
      <c r="I714" s="3"/>
      <c r="J714" s="3"/>
      <c r="K714" s="5" t="s">
        <v>23</v>
      </c>
      <c r="L714" s="5">
        <v>16</v>
      </c>
      <c r="M714" s="2" t="s">
        <v>2344</v>
      </c>
    </row>
    <row r="715" spans="1:13" x14ac:dyDescent="0.25">
      <c r="A715" s="5" t="str">
        <f>"6281057016341"</f>
        <v>6281057016341</v>
      </c>
      <c r="B715" s="2" t="s">
        <v>2345</v>
      </c>
      <c r="C715" s="2" t="s">
        <v>2346</v>
      </c>
      <c r="D715" s="5" t="s">
        <v>15</v>
      </c>
      <c r="E715" s="5" t="s">
        <v>16</v>
      </c>
      <c r="F715" s="5" t="s">
        <v>17</v>
      </c>
      <c r="G715" s="5" t="s">
        <v>18</v>
      </c>
      <c r="H715" s="3"/>
      <c r="I715" s="3"/>
      <c r="J715" s="3" t="s">
        <v>2347</v>
      </c>
      <c r="K715" s="5" t="s">
        <v>23</v>
      </c>
      <c r="L715" s="5">
        <v>2</v>
      </c>
      <c r="M715" s="2" t="s">
        <v>2348</v>
      </c>
    </row>
    <row r="716" spans="1:13" x14ac:dyDescent="0.25">
      <c r="A716" s="5" t="str">
        <f>"6281024010129"</f>
        <v>6281024010129</v>
      </c>
      <c r="B716" s="2" t="s">
        <v>2349</v>
      </c>
      <c r="C716" s="2" t="s">
        <v>2350</v>
      </c>
      <c r="D716" s="5" t="s">
        <v>15</v>
      </c>
      <c r="E716" s="5" t="s">
        <v>16</v>
      </c>
      <c r="F716" s="5" t="s">
        <v>17</v>
      </c>
      <c r="G716" s="5" t="s">
        <v>18</v>
      </c>
      <c r="H716" s="3" t="s">
        <v>979</v>
      </c>
      <c r="I716" s="3"/>
      <c r="J716" s="3"/>
      <c r="K716" s="5" t="s">
        <v>23</v>
      </c>
      <c r="L716" s="5">
        <v>10.5</v>
      </c>
      <c r="M716" s="2" t="s">
        <v>2351</v>
      </c>
    </row>
    <row r="717" spans="1:13" x14ac:dyDescent="0.25">
      <c r="A717" s="5" t="str">
        <f>"6281039162011"</f>
        <v>6281039162011</v>
      </c>
      <c r="B717" s="2" t="s">
        <v>2352</v>
      </c>
      <c r="C717" s="2" t="s">
        <v>2353</v>
      </c>
      <c r="D717" s="5" t="s">
        <v>15</v>
      </c>
      <c r="E717" s="5" t="s">
        <v>16</v>
      </c>
      <c r="F717" s="5" t="s">
        <v>17</v>
      </c>
      <c r="G717" s="5" t="s">
        <v>18</v>
      </c>
      <c r="H717" s="3" t="s">
        <v>146</v>
      </c>
      <c r="I717" s="3"/>
      <c r="J717" s="3"/>
      <c r="K717" s="5" t="s">
        <v>23</v>
      </c>
      <c r="L717" s="5">
        <v>2.5</v>
      </c>
      <c r="M717" s="2" t="s">
        <v>2354</v>
      </c>
    </row>
    <row r="718" spans="1:13" x14ac:dyDescent="0.25">
      <c r="A718" s="5" t="str">
        <f>"6281057009091"</f>
        <v>6281057009091</v>
      </c>
      <c r="B718" s="2" t="s">
        <v>2355</v>
      </c>
      <c r="C718" s="2" t="s">
        <v>2356</v>
      </c>
      <c r="D718" s="5" t="s">
        <v>15</v>
      </c>
      <c r="E718" s="5" t="s">
        <v>16</v>
      </c>
      <c r="F718" s="5" t="s">
        <v>17</v>
      </c>
      <c r="G718" s="5" t="s">
        <v>18</v>
      </c>
      <c r="H718" s="3" t="s">
        <v>44</v>
      </c>
      <c r="I718" s="3"/>
      <c r="J718" s="3"/>
      <c r="K718" s="5" t="s">
        <v>23</v>
      </c>
      <c r="L718" s="5">
        <v>23.75</v>
      </c>
      <c r="M718" s="2" t="s">
        <v>2357</v>
      </c>
    </row>
    <row r="719" spans="1:13" x14ac:dyDescent="0.25">
      <c r="A719" s="5" t="str">
        <f>"6281007032582"</f>
        <v>6281007032582</v>
      </c>
      <c r="B719" s="2" t="s">
        <v>2358</v>
      </c>
      <c r="C719" s="2" t="s">
        <v>2359</v>
      </c>
      <c r="D719" s="5" t="s">
        <v>15</v>
      </c>
      <c r="E719" s="5" t="s">
        <v>16</v>
      </c>
      <c r="F719" s="5" t="s">
        <v>17</v>
      </c>
      <c r="G719" s="5" t="s">
        <v>18</v>
      </c>
      <c r="H719" s="3" t="s">
        <v>32</v>
      </c>
      <c r="I719" s="3"/>
      <c r="J719" s="3" t="s">
        <v>385</v>
      </c>
      <c r="K719" s="5" t="s">
        <v>23</v>
      </c>
      <c r="L719" s="5">
        <v>2</v>
      </c>
      <c r="M719" s="2" t="s">
        <v>2360</v>
      </c>
    </row>
    <row r="720" spans="1:13" x14ac:dyDescent="0.25">
      <c r="A720" s="5" t="str">
        <f>"2140363000007"</f>
        <v>2140363000007</v>
      </c>
      <c r="B720" s="2" t="s">
        <v>2361</v>
      </c>
      <c r="C720" s="2" t="s">
        <v>2362</v>
      </c>
      <c r="D720" s="5" t="s">
        <v>15</v>
      </c>
      <c r="E720" s="5" t="s">
        <v>16</v>
      </c>
      <c r="F720" s="5" t="s">
        <v>17</v>
      </c>
      <c r="G720" s="5" t="s">
        <v>18</v>
      </c>
      <c r="H720" s="3" t="s">
        <v>819</v>
      </c>
      <c r="I720" s="3"/>
      <c r="J720" s="3"/>
      <c r="K720" s="5" t="s">
        <v>19</v>
      </c>
      <c r="L720" s="5">
        <v>105.95</v>
      </c>
      <c r="M720" s="2" t="s">
        <v>2363</v>
      </c>
    </row>
    <row r="721" spans="1:13" x14ac:dyDescent="0.25">
      <c r="A721" s="5" t="str">
        <f>"3228023050407"</f>
        <v>3228023050407</v>
      </c>
      <c r="B721" s="2" t="s">
        <v>2364</v>
      </c>
      <c r="C721" s="2" t="s">
        <v>2365</v>
      </c>
      <c r="D721" s="5" t="s">
        <v>15</v>
      </c>
      <c r="E721" s="5" t="s">
        <v>16</v>
      </c>
      <c r="F721" s="5" t="s">
        <v>17</v>
      </c>
      <c r="G721" s="5" t="s">
        <v>18</v>
      </c>
      <c r="H721" s="3" t="s">
        <v>107</v>
      </c>
      <c r="I721" s="3" t="s">
        <v>2366</v>
      </c>
      <c r="J721" s="3" t="s">
        <v>238</v>
      </c>
      <c r="K721" s="5" t="s">
        <v>23</v>
      </c>
      <c r="L721" s="5">
        <v>32</v>
      </c>
      <c r="M721" s="2" t="s">
        <v>2367</v>
      </c>
    </row>
    <row r="722" spans="1:13" x14ac:dyDescent="0.25">
      <c r="A722" s="5" t="str">
        <f>"6281007032759"</f>
        <v>6281007032759</v>
      </c>
      <c r="B722" s="2" t="s">
        <v>2368</v>
      </c>
      <c r="C722" s="2" t="s">
        <v>2369</v>
      </c>
      <c r="D722" s="5" t="s">
        <v>15</v>
      </c>
      <c r="E722" s="5" t="s">
        <v>16</v>
      </c>
      <c r="F722" s="5" t="s">
        <v>17</v>
      </c>
      <c r="G722" s="5" t="s">
        <v>18</v>
      </c>
      <c r="H722" s="3" t="s">
        <v>32</v>
      </c>
      <c r="I722" s="3" t="s">
        <v>33</v>
      </c>
      <c r="J722" s="3" t="s">
        <v>675</v>
      </c>
      <c r="K722" s="5" t="s">
        <v>23</v>
      </c>
      <c r="L722" s="5">
        <v>5.5</v>
      </c>
      <c r="M722" s="2" t="s">
        <v>2370</v>
      </c>
    </row>
    <row r="723" spans="1:13" x14ac:dyDescent="0.25">
      <c r="A723" s="5" t="str">
        <f>"6281057012237"</f>
        <v>6281057012237</v>
      </c>
      <c r="B723" s="2" t="s">
        <v>2371</v>
      </c>
      <c r="C723" s="2" t="s">
        <v>2372</v>
      </c>
      <c r="D723" s="5" t="s">
        <v>15</v>
      </c>
      <c r="E723" s="5" t="s">
        <v>16</v>
      </c>
      <c r="F723" s="5" t="s">
        <v>17</v>
      </c>
      <c r="G723" s="5" t="s">
        <v>18</v>
      </c>
      <c r="H723" s="3" t="s">
        <v>44</v>
      </c>
      <c r="I723" s="3"/>
      <c r="J723" s="3"/>
      <c r="K723" s="5" t="s">
        <v>23</v>
      </c>
      <c r="L723" s="5">
        <v>3</v>
      </c>
      <c r="M723" s="2" t="s">
        <v>2373</v>
      </c>
    </row>
    <row r="724" spans="1:13" x14ac:dyDescent="0.25">
      <c r="A724" s="5" t="str">
        <f>"6191513505138"</f>
        <v>6191513505138</v>
      </c>
      <c r="B724" s="2" t="s">
        <v>2374</v>
      </c>
      <c r="C724" s="2" t="s">
        <v>2375</v>
      </c>
      <c r="D724" s="5" t="s">
        <v>15</v>
      </c>
      <c r="E724" s="5" t="s">
        <v>16</v>
      </c>
      <c r="F724" s="5" t="s">
        <v>17</v>
      </c>
      <c r="G724" s="5" t="s">
        <v>18</v>
      </c>
      <c r="H724" s="3"/>
      <c r="I724" s="3"/>
      <c r="J724" s="3" t="s">
        <v>2376</v>
      </c>
      <c r="K724" s="5" t="s">
        <v>23</v>
      </c>
      <c r="L724" s="5">
        <v>12.25</v>
      </c>
      <c r="M724" s="2" t="s">
        <v>2377</v>
      </c>
    </row>
    <row r="725" spans="1:13" x14ac:dyDescent="0.25">
      <c r="A725" s="5" t="str">
        <f>"6281039106213"</f>
        <v>6281039106213</v>
      </c>
      <c r="B725" s="2" t="s">
        <v>2378</v>
      </c>
      <c r="C725" s="2" t="s">
        <v>2379</v>
      </c>
      <c r="D725" s="5" t="s">
        <v>15</v>
      </c>
      <c r="E725" s="5" t="s">
        <v>16</v>
      </c>
      <c r="F725" s="5" t="s">
        <v>17</v>
      </c>
      <c r="G725" s="5" t="s">
        <v>18</v>
      </c>
      <c r="H725" s="3" t="s">
        <v>146</v>
      </c>
      <c r="I725" s="3"/>
      <c r="J725" s="3"/>
      <c r="K725" s="5" t="s">
        <v>23</v>
      </c>
      <c r="L725" s="5">
        <v>2</v>
      </c>
      <c r="M725" s="2" t="s">
        <v>2380</v>
      </c>
    </row>
    <row r="726" spans="1:13" x14ac:dyDescent="0.25">
      <c r="A726" s="5" t="str">
        <f>"6281022121094"</f>
        <v>6281022121094</v>
      </c>
      <c r="B726" s="2" t="s">
        <v>2381</v>
      </c>
      <c r="C726" s="2" t="s">
        <v>2382</v>
      </c>
      <c r="D726" s="5" t="s">
        <v>15</v>
      </c>
      <c r="E726" s="5" t="s">
        <v>16</v>
      </c>
      <c r="F726" s="5" t="s">
        <v>17</v>
      </c>
      <c r="G726" s="5" t="s">
        <v>18</v>
      </c>
      <c r="H726" s="3" t="s">
        <v>1370</v>
      </c>
      <c r="I726" s="3"/>
      <c r="J726" s="3" t="s">
        <v>1371</v>
      </c>
      <c r="K726" s="5" t="s">
        <v>23</v>
      </c>
      <c r="L726" s="5">
        <v>13</v>
      </c>
      <c r="M726" s="2" t="s">
        <v>2383</v>
      </c>
    </row>
    <row r="727" spans="1:13" x14ac:dyDescent="0.25">
      <c r="A727" s="5" t="str">
        <f>"2140310000005"</f>
        <v>2140310000005</v>
      </c>
      <c r="B727" s="2" t="s">
        <v>2384</v>
      </c>
      <c r="C727" s="2" t="s">
        <v>2385</v>
      </c>
      <c r="D727" s="5" t="s">
        <v>15</v>
      </c>
      <c r="E727" s="5" t="s">
        <v>16</v>
      </c>
      <c r="F727" s="5" t="s">
        <v>17</v>
      </c>
      <c r="G727" s="5" t="s">
        <v>18</v>
      </c>
      <c r="H727" s="3"/>
      <c r="I727" s="3"/>
      <c r="J727" s="3"/>
      <c r="K727" s="5" t="s">
        <v>19</v>
      </c>
      <c r="L727" s="5">
        <v>24.45</v>
      </c>
      <c r="M727" s="2" t="s">
        <v>2386</v>
      </c>
    </row>
    <row r="728" spans="1:13" x14ac:dyDescent="0.25">
      <c r="A728" s="5" t="str">
        <f>"8901262010016"</f>
        <v>8901262010016</v>
      </c>
      <c r="B728" s="2" t="s">
        <v>2387</v>
      </c>
      <c r="C728" s="2" t="s">
        <v>2388</v>
      </c>
      <c r="D728" s="5" t="s">
        <v>15</v>
      </c>
      <c r="E728" s="5" t="s">
        <v>16</v>
      </c>
      <c r="F728" s="5" t="s">
        <v>17</v>
      </c>
      <c r="G728" s="5" t="s">
        <v>18</v>
      </c>
      <c r="H728" s="3" t="s">
        <v>2389</v>
      </c>
      <c r="I728" s="3"/>
      <c r="J728" s="3"/>
      <c r="K728" s="5" t="s">
        <v>23</v>
      </c>
      <c r="L728" s="5">
        <v>9.25</v>
      </c>
      <c r="M728" s="2" t="s">
        <v>2390</v>
      </c>
    </row>
    <row r="729" spans="1:13" x14ac:dyDescent="0.25">
      <c r="A729" s="5" t="str">
        <f>"6281057007035"</f>
        <v>6281057007035</v>
      </c>
      <c r="B729" s="2" t="s">
        <v>2391</v>
      </c>
      <c r="C729" s="2" t="s">
        <v>2392</v>
      </c>
      <c r="D729" s="5" t="s">
        <v>15</v>
      </c>
      <c r="E729" s="5" t="s">
        <v>16</v>
      </c>
      <c r="F729" s="5" t="s">
        <v>17</v>
      </c>
      <c r="G729" s="5" t="s">
        <v>18</v>
      </c>
      <c r="H729" s="3" t="s">
        <v>44</v>
      </c>
      <c r="I729" s="3"/>
      <c r="J729" s="3"/>
      <c r="K729" s="5" t="s">
        <v>23</v>
      </c>
      <c r="L729" s="5">
        <v>1.25</v>
      </c>
      <c r="M729" s="2" t="s">
        <v>2393</v>
      </c>
    </row>
    <row r="730" spans="1:13" x14ac:dyDescent="0.25">
      <c r="A730" s="5" t="str">
        <f>"6281007062251"</f>
        <v>6281007062251</v>
      </c>
      <c r="B730" s="2" t="s">
        <v>2394</v>
      </c>
      <c r="C730" s="2" t="s">
        <v>2395</v>
      </c>
      <c r="D730" s="5" t="s">
        <v>15</v>
      </c>
      <c r="E730" s="5" t="s">
        <v>16</v>
      </c>
      <c r="F730" s="5" t="s">
        <v>17</v>
      </c>
      <c r="G730" s="5" t="s">
        <v>18</v>
      </c>
      <c r="H730" s="3" t="s">
        <v>32</v>
      </c>
      <c r="I730" s="3"/>
      <c r="J730" s="3" t="s">
        <v>2396</v>
      </c>
      <c r="K730" s="5" t="s">
        <v>23</v>
      </c>
      <c r="L730" s="5">
        <v>30.75</v>
      </c>
      <c r="M730" s="2" t="s">
        <v>2397</v>
      </c>
    </row>
    <row r="731" spans="1:13" x14ac:dyDescent="0.25">
      <c r="A731" s="5" t="str">
        <f>"6281039175738"</f>
        <v>6281039175738</v>
      </c>
      <c r="B731" s="2" t="s">
        <v>2398</v>
      </c>
      <c r="C731" s="2" t="s">
        <v>2399</v>
      </c>
      <c r="D731" s="5" t="s">
        <v>15</v>
      </c>
      <c r="E731" s="5" t="s">
        <v>16</v>
      </c>
      <c r="F731" s="5" t="s">
        <v>17</v>
      </c>
      <c r="G731" s="5" t="s">
        <v>18</v>
      </c>
      <c r="H731" s="3" t="s">
        <v>146</v>
      </c>
      <c r="I731" s="3"/>
      <c r="J731" s="3"/>
      <c r="K731" s="5" t="s">
        <v>23</v>
      </c>
      <c r="L731" s="5">
        <v>30.95</v>
      </c>
      <c r="M731" s="2" t="s">
        <v>2400</v>
      </c>
    </row>
    <row r="732" spans="1:13" x14ac:dyDescent="0.25">
      <c r="A732" s="5" t="str">
        <f>"6281022124033"</f>
        <v>6281022124033</v>
      </c>
      <c r="B732" s="2" t="s">
        <v>2401</v>
      </c>
      <c r="C732" s="2" t="s">
        <v>2402</v>
      </c>
      <c r="D732" s="5" t="s">
        <v>15</v>
      </c>
      <c r="E732" s="5" t="s">
        <v>16</v>
      </c>
      <c r="F732" s="5" t="s">
        <v>17</v>
      </c>
      <c r="G732" s="5" t="s">
        <v>18</v>
      </c>
      <c r="H732" s="3" t="s">
        <v>2403</v>
      </c>
      <c r="I732" s="3"/>
      <c r="J732" s="3" t="s">
        <v>60</v>
      </c>
      <c r="K732" s="5" t="s">
        <v>23</v>
      </c>
      <c r="L732" s="5">
        <v>4.25</v>
      </c>
      <c r="M732" s="2" t="s">
        <v>2404</v>
      </c>
    </row>
    <row r="733" spans="1:13" x14ac:dyDescent="0.25">
      <c r="A733" s="5" t="str">
        <f>"3073781182682"</f>
        <v>3073781182682</v>
      </c>
      <c r="B733" s="2" t="s">
        <v>2405</v>
      </c>
      <c r="C733" s="2" t="s">
        <v>2406</v>
      </c>
      <c r="D733" s="5" t="s">
        <v>15</v>
      </c>
      <c r="E733" s="5" t="s">
        <v>16</v>
      </c>
      <c r="F733" s="5" t="s">
        <v>17</v>
      </c>
      <c r="G733" s="5" t="s">
        <v>18</v>
      </c>
      <c r="H733" s="3" t="s">
        <v>1617</v>
      </c>
      <c r="I733" s="3"/>
      <c r="J733" s="3"/>
      <c r="K733" s="5" t="s">
        <v>23</v>
      </c>
      <c r="L733" s="5">
        <v>12.25</v>
      </c>
      <c r="M733" s="2" t="s">
        <v>2407</v>
      </c>
    </row>
    <row r="734" spans="1:13" x14ac:dyDescent="0.25">
      <c r="A734" s="5" t="str">
        <f>"5202390019319"</f>
        <v>5202390019319</v>
      </c>
      <c r="B734" s="2" t="s">
        <v>2408</v>
      </c>
      <c r="C734" s="2" t="s">
        <v>2409</v>
      </c>
      <c r="D734" s="5" t="s">
        <v>15</v>
      </c>
      <c r="E734" s="5" t="s">
        <v>16</v>
      </c>
      <c r="F734" s="5" t="s">
        <v>17</v>
      </c>
      <c r="G734" s="5" t="s">
        <v>18</v>
      </c>
      <c r="H734" s="3"/>
      <c r="I734" s="3" t="s">
        <v>2219</v>
      </c>
      <c r="J734" s="3" t="s">
        <v>28</v>
      </c>
      <c r="K734" s="5" t="s">
        <v>23</v>
      </c>
      <c r="L734" s="5">
        <v>20</v>
      </c>
      <c r="M734" s="2" t="s">
        <v>2410</v>
      </c>
    </row>
    <row r="735" spans="1:13" x14ac:dyDescent="0.25">
      <c r="A735" s="5" t="str">
        <f>"6281039711110"</f>
        <v>6281039711110</v>
      </c>
      <c r="B735" s="2" t="s">
        <v>2411</v>
      </c>
      <c r="C735" s="2" t="s">
        <v>2412</v>
      </c>
      <c r="D735" s="5" t="s">
        <v>15</v>
      </c>
      <c r="E735" s="5" t="s">
        <v>16</v>
      </c>
      <c r="F735" s="5" t="s">
        <v>17</v>
      </c>
      <c r="G735" s="5" t="s">
        <v>18</v>
      </c>
      <c r="H735" s="3" t="s">
        <v>146</v>
      </c>
      <c r="I735" s="3"/>
      <c r="J735" s="3" t="s">
        <v>1879</v>
      </c>
      <c r="K735" s="5" t="s">
        <v>23</v>
      </c>
      <c r="L735" s="5">
        <v>9.75</v>
      </c>
      <c r="M735" s="2" t="s">
        <v>2413</v>
      </c>
    </row>
    <row r="736" spans="1:13" x14ac:dyDescent="0.25">
      <c r="A736" s="5" t="str">
        <f>"8695543003865"</f>
        <v>8695543003865</v>
      </c>
      <c r="B736" s="2" t="s">
        <v>2414</v>
      </c>
      <c r="C736" s="2" t="s">
        <v>2415</v>
      </c>
      <c r="D736" s="5" t="s">
        <v>15</v>
      </c>
      <c r="E736" s="5" t="s">
        <v>16</v>
      </c>
      <c r="F736" s="5" t="s">
        <v>17</v>
      </c>
      <c r="G736" s="5" t="s">
        <v>18</v>
      </c>
      <c r="H736" s="3" t="s">
        <v>2416</v>
      </c>
      <c r="I736" s="3" t="s">
        <v>141</v>
      </c>
      <c r="J736" s="3" t="s">
        <v>1055</v>
      </c>
      <c r="K736" s="5" t="s">
        <v>23</v>
      </c>
      <c r="L736" s="5">
        <v>27.95</v>
      </c>
      <c r="M736" s="2" t="s">
        <v>2417</v>
      </c>
    </row>
    <row r="737" spans="1:13" x14ac:dyDescent="0.25">
      <c r="A737" s="5" t="str">
        <f>"6281033305605"</f>
        <v>6281033305605</v>
      </c>
      <c r="B737" s="2" t="s">
        <v>2418</v>
      </c>
      <c r="C737" s="2" t="s">
        <v>2419</v>
      </c>
      <c r="D737" s="5" t="s">
        <v>15</v>
      </c>
      <c r="E737" s="5" t="s">
        <v>16</v>
      </c>
      <c r="F737" s="5" t="s">
        <v>17</v>
      </c>
      <c r="G737" s="5" t="s">
        <v>18</v>
      </c>
      <c r="H737" s="3" t="s">
        <v>2127</v>
      </c>
      <c r="I737" s="3" t="s">
        <v>33</v>
      </c>
      <c r="J737" s="3" t="s">
        <v>915</v>
      </c>
      <c r="K737" s="5" t="s">
        <v>23</v>
      </c>
      <c r="L737" s="5">
        <v>19.25</v>
      </c>
      <c r="M737" s="2" t="s">
        <v>2420</v>
      </c>
    </row>
    <row r="738" spans="1:13" x14ac:dyDescent="0.25">
      <c r="A738" s="5" t="str">
        <f>"2144843000006"</f>
        <v>2144843000006</v>
      </c>
      <c r="B738" s="2" t="s">
        <v>2421</v>
      </c>
      <c r="C738" s="2" t="s">
        <v>2422</v>
      </c>
      <c r="D738" s="5" t="s">
        <v>15</v>
      </c>
      <c r="E738" s="5" t="s">
        <v>16</v>
      </c>
      <c r="F738" s="5" t="s">
        <v>17</v>
      </c>
      <c r="G738" s="5" t="s">
        <v>18</v>
      </c>
      <c r="H738" s="3"/>
      <c r="I738" s="3"/>
      <c r="J738" s="3"/>
      <c r="K738" s="5" t="s">
        <v>23</v>
      </c>
      <c r="L738" s="5">
        <v>59.95</v>
      </c>
      <c r="M738" s="2" t="s">
        <v>2423</v>
      </c>
    </row>
    <row r="739" spans="1:13" x14ac:dyDescent="0.25">
      <c r="A739" s="5" t="str">
        <f>"7340001804201"</f>
        <v>7340001804201</v>
      </c>
      <c r="B739" s="2" t="s">
        <v>2424</v>
      </c>
      <c r="C739" s="2" t="s">
        <v>2425</v>
      </c>
      <c r="D739" s="5" t="s">
        <v>15</v>
      </c>
      <c r="E739" s="5" t="s">
        <v>16</v>
      </c>
      <c r="F739" s="5" t="s">
        <v>17</v>
      </c>
      <c r="G739" s="5" t="s">
        <v>18</v>
      </c>
      <c r="H739" s="3"/>
      <c r="I739" s="3" t="s">
        <v>2426</v>
      </c>
      <c r="J739" s="3" t="s">
        <v>1574</v>
      </c>
      <c r="K739" s="5" t="s">
        <v>23</v>
      </c>
      <c r="L739" s="5">
        <v>20.95</v>
      </c>
      <c r="M739" s="2" t="s">
        <v>2427</v>
      </c>
    </row>
    <row r="740" spans="1:13" x14ac:dyDescent="0.25">
      <c r="A740" s="5" t="str">
        <f>"6281057002726"</f>
        <v>6281057002726</v>
      </c>
      <c r="B740" s="2" t="s">
        <v>2428</v>
      </c>
      <c r="C740" s="2" t="s">
        <v>2429</v>
      </c>
      <c r="D740" s="5" t="s">
        <v>15</v>
      </c>
      <c r="E740" s="5" t="s">
        <v>16</v>
      </c>
      <c r="F740" s="5" t="s">
        <v>17</v>
      </c>
      <c r="G740" s="5" t="s">
        <v>18</v>
      </c>
      <c r="H740" s="3" t="s">
        <v>44</v>
      </c>
      <c r="I740" s="3"/>
      <c r="J740" s="3"/>
      <c r="K740" s="5" t="s">
        <v>23</v>
      </c>
      <c r="L740" s="5">
        <v>3</v>
      </c>
      <c r="M740" s="2" t="s">
        <v>2430</v>
      </c>
    </row>
    <row r="741" spans="1:13" x14ac:dyDescent="0.25">
      <c r="A741" s="5" t="str">
        <f>"6271002190417"</f>
        <v>6271002190417</v>
      </c>
      <c r="B741" s="2" t="s">
        <v>2431</v>
      </c>
      <c r="C741" s="2" t="s">
        <v>2432</v>
      </c>
      <c r="D741" s="5" t="s">
        <v>15</v>
      </c>
      <c r="E741" s="5" t="s">
        <v>16</v>
      </c>
      <c r="F741" s="5" t="s">
        <v>17</v>
      </c>
      <c r="G741" s="5" t="s">
        <v>18</v>
      </c>
      <c r="H741" s="3" t="s">
        <v>100</v>
      </c>
      <c r="I741" s="3"/>
      <c r="J741" s="3"/>
      <c r="K741" s="5" t="s">
        <v>23</v>
      </c>
      <c r="L741" s="5">
        <v>1.5</v>
      </c>
      <c r="M741" s="2" t="s">
        <v>2433</v>
      </c>
    </row>
    <row r="742" spans="1:13" x14ac:dyDescent="0.25">
      <c r="A742" s="5" t="str">
        <f>"6281022160109"</f>
        <v>6281022160109</v>
      </c>
      <c r="B742" s="2" t="s">
        <v>2434</v>
      </c>
      <c r="C742" s="2" t="s">
        <v>2435</v>
      </c>
      <c r="D742" s="5" t="s">
        <v>15</v>
      </c>
      <c r="E742" s="5" t="s">
        <v>16</v>
      </c>
      <c r="F742" s="5" t="s">
        <v>17</v>
      </c>
      <c r="G742" s="5" t="s">
        <v>18</v>
      </c>
      <c r="H742" s="3"/>
      <c r="I742" s="3"/>
      <c r="J742" s="3"/>
      <c r="K742" s="5" t="s">
        <v>23</v>
      </c>
      <c r="L742" s="5">
        <v>4</v>
      </c>
      <c r="M742" s="2" t="s">
        <v>2436</v>
      </c>
    </row>
    <row r="743" spans="1:13" x14ac:dyDescent="0.25">
      <c r="A743" s="5" t="str">
        <f>"6281039174113"</f>
        <v>6281039174113</v>
      </c>
      <c r="B743" s="2" t="s">
        <v>2437</v>
      </c>
      <c r="C743" s="2" t="s">
        <v>2438</v>
      </c>
      <c r="D743" s="5" t="s">
        <v>15</v>
      </c>
      <c r="E743" s="5" t="s">
        <v>16</v>
      </c>
      <c r="F743" s="5" t="s">
        <v>17</v>
      </c>
      <c r="G743" s="5" t="s">
        <v>18</v>
      </c>
      <c r="H743" s="3" t="s">
        <v>146</v>
      </c>
      <c r="I743" s="3"/>
      <c r="J743" s="3"/>
      <c r="K743" s="5" t="s">
        <v>23</v>
      </c>
      <c r="L743" s="5">
        <v>1.55</v>
      </c>
      <c r="M743" s="2" t="s">
        <v>2439</v>
      </c>
    </row>
    <row r="744" spans="1:13" x14ac:dyDescent="0.25">
      <c r="A744" s="5" t="str">
        <f>"62810593"</f>
        <v>62810593</v>
      </c>
      <c r="B744" s="2" t="s">
        <v>2440</v>
      </c>
      <c r="C744" s="2" t="s">
        <v>2441</v>
      </c>
      <c r="D744" s="5" t="s">
        <v>15</v>
      </c>
      <c r="E744" s="5" t="s">
        <v>16</v>
      </c>
      <c r="F744" s="5" t="s">
        <v>17</v>
      </c>
      <c r="G744" s="5" t="s">
        <v>18</v>
      </c>
      <c r="H744" s="3" t="s">
        <v>32</v>
      </c>
      <c r="I744" s="3"/>
      <c r="J744" s="3"/>
      <c r="K744" s="5" t="s">
        <v>23</v>
      </c>
      <c r="L744" s="5">
        <v>4</v>
      </c>
      <c r="M744" s="2" t="s">
        <v>2442</v>
      </c>
    </row>
    <row r="745" spans="1:13" x14ac:dyDescent="0.25">
      <c r="A745" s="5" t="str">
        <f>"6281007070232"</f>
        <v>6281007070232</v>
      </c>
      <c r="B745" s="2" t="s">
        <v>2443</v>
      </c>
      <c r="C745" s="2" t="s">
        <v>2444</v>
      </c>
      <c r="D745" s="5" t="s">
        <v>15</v>
      </c>
      <c r="E745" s="5" t="s">
        <v>16</v>
      </c>
      <c r="F745" s="5" t="s">
        <v>17</v>
      </c>
      <c r="G745" s="5" t="s">
        <v>18</v>
      </c>
      <c r="H745" s="3" t="s">
        <v>32</v>
      </c>
      <c r="I745" s="3"/>
      <c r="J745" s="3" t="s">
        <v>375</v>
      </c>
      <c r="K745" s="5" t="s">
        <v>23</v>
      </c>
      <c r="L745" s="5">
        <v>10.25</v>
      </c>
      <c r="M745" s="2" t="s">
        <v>2445</v>
      </c>
    </row>
    <row r="746" spans="1:13" x14ac:dyDescent="0.25">
      <c r="A746" s="5" t="str">
        <f>"6281018148463"</f>
        <v>6281018148463</v>
      </c>
      <c r="B746" s="2" t="s">
        <v>2446</v>
      </c>
      <c r="C746" s="2" t="s">
        <v>2447</v>
      </c>
      <c r="D746" s="5" t="s">
        <v>15</v>
      </c>
      <c r="E746" s="5" t="s">
        <v>16</v>
      </c>
      <c r="F746" s="5" t="s">
        <v>17</v>
      </c>
      <c r="G746" s="5" t="s">
        <v>18</v>
      </c>
      <c r="H746" s="3" t="s">
        <v>67</v>
      </c>
      <c r="I746" s="3"/>
      <c r="J746" s="3"/>
      <c r="K746" s="5" t="s">
        <v>23</v>
      </c>
      <c r="L746" s="5">
        <v>76.25</v>
      </c>
      <c r="M746" s="2" t="s">
        <v>2448</v>
      </c>
    </row>
    <row r="747" spans="1:13" x14ac:dyDescent="0.25">
      <c r="A747" s="5" t="str">
        <f>"6281007032575"</f>
        <v>6281007032575</v>
      </c>
      <c r="B747" s="2" t="s">
        <v>2449</v>
      </c>
      <c r="C747" s="2" t="s">
        <v>2450</v>
      </c>
      <c r="D747" s="5" t="s">
        <v>15</v>
      </c>
      <c r="E747" s="5" t="s">
        <v>16</v>
      </c>
      <c r="F747" s="5" t="s">
        <v>17</v>
      </c>
      <c r="G747" s="5" t="s">
        <v>18</v>
      </c>
      <c r="H747" s="3" t="s">
        <v>32</v>
      </c>
      <c r="I747" s="3" t="s">
        <v>33</v>
      </c>
      <c r="J747" s="3" t="s">
        <v>385</v>
      </c>
      <c r="K747" s="5" t="s">
        <v>23</v>
      </c>
      <c r="L747" s="5">
        <v>2</v>
      </c>
      <c r="M747" s="2" t="s">
        <v>2451</v>
      </c>
    </row>
    <row r="748" spans="1:13" x14ac:dyDescent="0.25">
      <c r="A748" s="5" t="str">
        <f>"6281007039826"</f>
        <v>6281007039826</v>
      </c>
      <c r="B748" s="2" t="s">
        <v>2452</v>
      </c>
      <c r="C748" s="2" t="s">
        <v>2453</v>
      </c>
      <c r="D748" s="5" t="s">
        <v>15</v>
      </c>
      <c r="E748" s="5" t="s">
        <v>16</v>
      </c>
      <c r="F748" s="5" t="s">
        <v>17</v>
      </c>
      <c r="G748" s="5" t="s">
        <v>18</v>
      </c>
      <c r="H748" s="3" t="s">
        <v>32</v>
      </c>
      <c r="I748" s="3" t="s">
        <v>33</v>
      </c>
      <c r="J748" s="3"/>
      <c r="K748" s="5" t="s">
        <v>23</v>
      </c>
      <c r="L748" s="5">
        <v>3</v>
      </c>
      <c r="M748" s="2" t="s">
        <v>2454</v>
      </c>
    </row>
    <row r="749" spans="1:13" x14ac:dyDescent="0.25">
      <c r="A749" s="5" t="str">
        <f>"6281057007011"</f>
        <v>6281057007011</v>
      </c>
      <c r="B749" s="2" t="s">
        <v>2455</v>
      </c>
      <c r="C749" s="2" t="s">
        <v>2456</v>
      </c>
      <c r="D749" s="5" t="s">
        <v>15</v>
      </c>
      <c r="E749" s="5" t="s">
        <v>16</v>
      </c>
      <c r="F749" s="5" t="s">
        <v>17</v>
      </c>
      <c r="G749" s="5" t="s">
        <v>18</v>
      </c>
      <c r="H749" s="3" t="s">
        <v>44</v>
      </c>
      <c r="I749" s="3"/>
      <c r="J749" s="3"/>
      <c r="K749" s="5" t="s">
        <v>23</v>
      </c>
      <c r="L749" s="5">
        <v>1.25</v>
      </c>
      <c r="M749" s="2" t="s">
        <v>2457</v>
      </c>
    </row>
    <row r="750" spans="1:13" x14ac:dyDescent="0.25">
      <c r="A750" s="5" t="str">
        <f>"6281022153361"</f>
        <v>6281022153361</v>
      </c>
      <c r="B750" s="2" t="s">
        <v>2458</v>
      </c>
      <c r="C750" s="2" t="s">
        <v>2459</v>
      </c>
      <c r="D750" s="5" t="s">
        <v>15</v>
      </c>
      <c r="E750" s="5" t="s">
        <v>16</v>
      </c>
      <c r="F750" s="5" t="s">
        <v>17</v>
      </c>
      <c r="G750" s="5" t="s">
        <v>18</v>
      </c>
      <c r="H750" s="3"/>
      <c r="I750" s="3"/>
      <c r="J750" s="3"/>
      <c r="K750" s="5" t="s">
        <v>23</v>
      </c>
      <c r="L750" s="5">
        <v>37.25</v>
      </c>
      <c r="M750" s="2" t="s">
        <v>2460</v>
      </c>
    </row>
    <row r="751" spans="1:13" x14ac:dyDescent="0.25">
      <c r="A751" s="5" t="str">
        <f>"6281007042499"</f>
        <v>6281007042499</v>
      </c>
      <c r="B751" s="2" t="s">
        <v>2461</v>
      </c>
      <c r="C751" s="2" t="s">
        <v>2462</v>
      </c>
      <c r="D751" s="5" t="s">
        <v>15</v>
      </c>
      <c r="E751" s="5" t="s">
        <v>16</v>
      </c>
      <c r="F751" s="5" t="s">
        <v>17</v>
      </c>
      <c r="G751" s="5" t="s">
        <v>18</v>
      </c>
      <c r="H751" s="3" t="s">
        <v>32</v>
      </c>
      <c r="I751" s="3" t="s">
        <v>33</v>
      </c>
      <c r="J751" s="3" t="s">
        <v>675</v>
      </c>
      <c r="K751" s="5" t="s">
        <v>23</v>
      </c>
      <c r="L751" s="5">
        <v>6</v>
      </c>
      <c r="M751" s="2" t="s">
        <v>2463</v>
      </c>
    </row>
    <row r="752" spans="1:13" x14ac:dyDescent="0.25">
      <c r="A752" s="5" t="str">
        <f>"6281123056431"</f>
        <v>6281123056431</v>
      </c>
      <c r="B752" s="2" t="s">
        <v>2464</v>
      </c>
      <c r="C752" s="2" t="s">
        <v>2465</v>
      </c>
      <c r="D752" s="5" t="s">
        <v>15</v>
      </c>
      <c r="E752" s="5" t="s">
        <v>16</v>
      </c>
      <c r="F752" s="5" t="s">
        <v>17</v>
      </c>
      <c r="G752" s="5" t="s">
        <v>18</v>
      </c>
      <c r="H752" s="3" t="s">
        <v>2044</v>
      </c>
      <c r="I752" s="3"/>
      <c r="J752" s="3" t="s">
        <v>2045</v>
      </c>
      <c r="K752" s="5" t="s">
        <v>23</v>
      </c>
      <c r="L752" s="5">
        <v>9</v>
      </c>
      <c r="M752" s="2" t="s">
        <v>2466</v>
      </c>
    </row>
    <row r="753" spans="1:13" x14ac:dyDescent="0.25">
      <c r="A753" s="5" t="str">
        <f>"6281022109115"</f>
        <v>6281022109115</v>
      </c>
      <c r="B753" s="2" t="s">
        <v>2467</v>
      </c>
      <c r="C753" s="2" t="s">
        <v>2468</v>
      </c>
      <c r="D753" s="5" t="s">
        <v>15</v>
      </c>
      <c r="E753" s="5" t="s">
        <v>16</v>
      </c>
      <c r="F753" s="5" t="s">
        <v>17</v>
      </c>
      <c r="G753" s="5" t="s">
        <v>18</v>
      </c>
      <c r="H753" s="3"/>
      <c r="I753" s="3"/>
      <c r="J753" s="3"/>
      <c r="K753" s="5" t="s">
        <v>23</v>
      </c>
      <c r="L753" s="5">
        <v>2.25</v>
      </c>
      <c r="M753" s="2" t="s">
        <v>2469</v>
      </c>
    </row>
    <row r="754" spans="1:13" x14ac:dyDescent="0.25">
      <c r="A754" s="5" t="str">
        <f>"6281026121618"</f>
        <v>6281026121618</v>
      </c>
      <c r="B754" s="2" t="s">
        <v>2470</v>
      </c>
      <c r="C754" s="2" t="s">
        <v>2471</v>
      </c>
      <c r="D754" s="5" t="s">
        <v>15</v>
      </c>
      <c r="E754" s="5" t="s">
        <v>16</v>
      </c>
      <c r="F754" s="5" t="s">
        <v>17</v>
      </c>
      <c r="G754" s="5" t="s">
        <v>18</v>
      </c>
      <c r="H754" s="3" t="s">
        <v>1041</v>
      </c>
      <c r="I754" s="3"/>
      <c r="J754" s="3"/>
      <c r="K754" s="5" t="s">
        <v>23</v>
      </c>
      <c r="L754" s="5">
        <v>23.25</v>
      </c>
      <c r="M754" s="2" t="s">
        <v>2472</v>
      </c>
    </row>
    <row r="755" spans="1:13" x14ac:dyDescent="0.25">
      <c r="A755" s="5" t="str">
        <f>"6281007045971"</f>
        <v>6281007045971</v>
      </c>
      <c r="B755" s="2" t="s">
        <v>2473</v>
      </c>
      <c r="C755" s="2" t="s">
        <v>2474</v>
      </c>
      <c r="D755" s="5" t="s">
        <v>15</v>
      </c>
      <c r="E755" s="5" t="s">
        <v>16</v>
      </c>
      <c r="F755" s="5" t="s">
        <v>17</v>
      </c>
      <c r="G755" s="5" t="s">
        <v>18</v>
      </c>
      <c r="H755" s="3" t="s">
        <v>32</v>
      </c>
      <c r="I755" s="3" t="s">
        <v>33</v>
      </c>
      <c r="J755" s="3" t="s">
        <v>2475</v>
      </c>
      <c r="K755" s="5" t="s">
        <v>23</v>
      </c>
      <c r="L755" s="5">
        <v>42.25</v>
      </c>
      <c r="M755" s="2" t="s">
        <v>2476</v>
      </c>
    </row>
    <row r="756" spans="1:13" x14ac:dyDescent="0.25">
      <c r="A756" s="5" t="str">
        <f>"6281039171433"</f>
        <v>6281039171433</v>
      </c>
      <c r="B756" s="2" t="s">
        <v>2477</v>
      </c>
      <c r="C756" s="2" t="s">
        <v>2478</v>
      </c>
      <c r="D756" s="5" t="s">
        <v>15</v>
      </c>
      <c r="E756" s="5" t="s">
        <v>16</v>
      </c>
      <c r="F756" s="5" t="s">
        <v>17</v>
      </c>
      <c r="G756" s="5" t="s">
        <v>18</v>
      </c>
      <c r="H756" s="3" t="s">
        <v>146</v>
      </c>
      <c r="I756" s="3"/>
      <c r="J756" s="3"/>
      <c r="K756" s="5" t="s">
        <v>23</v>
      </c>
      <c r="L756" s="5">
        <v>37</v>
      </c>
      <c r="M756" s="2" t="s">
        <v>2479</v>
      </c>
    </row>
    <row r="757" spans="1:13" x14ac:dyDescent="0.25">
      <c r="A757" s="5" t="str">
        <f>"6281007045728"</f>
        <v>6281007045728</v>
      </c>
      <c r="B757" s="2" t="s">
        <v>2480</v>
      </c>
      <c r="C757" s="2" t="s">
        <v>2481</v>
      </c>
      <c r="D757" s="5" t="s">
        <v>15</v>
      </c>
      <c r="E757" s="5" t="s">
        <v>16</v>
      </c>
      <c r="F757" s="5" t="s">
        <v>17</v>
      </c>
      <c r="G757" s="5" t="s">
        <v>18</v>
      </c>
      <c r="H757" s="3" t="s">
        <v>32</v>
      </c>
      <c r="I757" s="3"/>
      <c r="J757" s="3"/>
      <c r="K757" s="5" t="s">
        <v>23</v>
      </c>
      <c r="L757" s="5">
        <v>39.950000000000003</v>
      </c>
      <c r="M757" s="2" t="s">
        <v>2482</v>
      </c>
    </row>
    <row r="758" spans="1:13" x14ac:dyDescent="0.25">
      <c r="A758" s="5" t="str">
        <f>"6281007036085"</f>
        <v>6281007036085</v>
      </c>
      <c r="B758" s="2" t="s">
        <v>2483</v>
      </c>
      <c r="C758" s="2" t="s">
        <v>2484</v>
      </c>
      <c r="D758" s="5" t="s">
        <v>15</v>
      </c>
      <c r="E758" s="5" t="s">
        <v>16</v>
      </c>
      <c r="F758" s="5" t="s">
        <v>17</v>
      </c>
      <c r="G758" s="5" t="s">
        <v>18</v>
      </c>
      <c r="H758" s="3" t="s">
        <v>32</v>
      </c>
      <c r="I758" s="3"/>
      <c r="J758" s="3"/>
      <c r="K758" s="5" t="s">
        <v>23</v>
      </c>
      <c r="L758" s="5">
        <v>37.25</v>
      </c>
      <c r="M758" s="2" t="s">
        <v>2485</v>
      </c>
    </row>
    <row r="759" spans="1:13" x14ac:dyDescent="0.25">
      <c r="A759" s="5" t="str">
        <f>"6281020174887"</f>
        <v>6281020174887</v>
      </c>
      <c r="B759" s="2" t="s">
        <v>2486</v>
      </c>
      <c r="C759" s="2" t="s">
        <v>2487</v>
      </c>
      <c r="D759" s="5" t="s">
        <v>15</v>
      </c>
      <c r="E759" s="5" t="s">
        <v>16</v>
      </c>
      <c r="F759" s="5" t="s">
        <v>17</v>
      </c>
      <c r="G759" s="5" t="s">
        <v>18</v>
      </c>
      <c r="H759" s="3" t="s">
        <v>1146</v>
      </c>
      <c r="I759" s="3"/>
      <c r="J759" s="3" t="s">
        <v>2488</v>
      </c>
      <c r="K759" s="5" t="s">
        <v>23</v>
      </c>
      <c r="L759" s="5">
        <v>8.25</v>
      </c>
      <c r="M759" s="2" t="s">
        <v>2489</v>
      </c>
    </row>
    <row r="760" spans="1:13" x14ac:dyDescent="0.25">
      <c r="A760" s="5" t="str">
        <f>"6223000754627"</f>
        <v>6223000754627</v>
      </c>
      <c r="B760" s="2" t="s">
        <v>2490</v>
      </c>
      <c r="C760" s="2" t="s">
        <v>2491</v>
      </c>
      <c r="D760" s="5" t="s">
        <v>15</v>
      </c>
      <c r="E760" s="5" t="s">
        <v>16</v>
      </c>
      <c r="F760" s="5" t="s">
        <v>17</v>
      </c>
      <c r="G760" s="5" t="s">
        <v>18</v>
      </c>
      <c r="H760" s="3"/>
      <c r="I760" s="3"/>
      <c r="J760" s="3" t="s">
        <v>879</v>
      </c>
      <c r="K760" s="5" t="s">
        <v>23</v>
      </c>
      <c r="L760" s="5">
        <v>1.95</v>
      </c>
      <c r="M760" s="2" t="s">
        <v>2492</v>
      </c>
    </row>
    <row r="761" spans="1:13" x14ac:dyDescent="0.25">
      <c r="A761" s="5" t="str">
        <f>"6281073160103"</f>
        <v>6281073160103</v>
      </c>
      <c r="B761" s="2" t="s">
        <v>2493</v>
      </c>
      <c r="C761" s="2" t="s">
        <v>2494</v>
      </c>
      <c r="D761" s="5" t="s">
        <v>15</v>
      </c>
      <c r="E761" s="5" t="s">
        <v>16</v>
      </c>
      <c r="F761" s="5" t="s">
        <v>17</v>
      </c>
      <c r="G761" s="5" t="s">
        <v>18</v>
      </c>
      <c r="H761" s="3" t="s">
        <v>1835</v>
      </c>
      <c r="I761" s="3"/>
      <c r="J761" s="3"/>
      <c r="K761" s="5" t="s">
        <v>23</v>
      </c>
      <c r="L761" s="5">
        <v>51</v>
      </c>
      <c r="M761" s="2" t="s">
        <v>2495</v>
      </c>
    </row>
    <row r="762" spans="1:13" x14ac:dyDescent="0.25">
      <c r="A762" s="5" t="str">
        <f>"6281057016365"</f>
        <v>6281057016365</v>
      </c>
      <c r="B762" s="2" t="s">
        <v>2496</v>
      </c>
      <c r="C762" s="2" t="s">
        <v>2497</v>
      </c>
      <c r="D762" s="5" t="s">
        <v>15</v>
      </c>
      <c r="E762" s="5" t="s">
        <v>16</v>
      </c>
      <c r="F762" s="5" t="s">
        <v>17</v>
      </c>
      <c r="G762" s="5" t="s">
        <v>18</v>
      </c>
      <c r="H762" s="3"/>
      <c r="I762" s="3"/>
      <c r="J762" s="3" t="s">
        <v>2347</v>
      </c>
      <c r="K762" s="5" t="s">
        <v>23</v>
      </c>
      <c r="L762" s="5">
        <v>2</v>
      </c>
      <c r="M762" s="2" t="s">
        <v>2498</v>
      </c>
    </row>
    <row r="763" spans="1:13" x14ac:dyDescent="0.25">
      <c r="A763" s="5" t="str">
        <f>"2146315000002"</f>
        <v>2146315000002</v>
      </c>
      <c r="B763" s="2" t="s">
        <v>2499</v>
      </c>
      <c r="C763" s="2" t="s">
        <v>2500</v>
      </c>
      <c r="D763" s="5" t="s">
        <v>15</v>
      </c>
      <c r="E763" s="5" t="s">
        <v>16</v>
      </c>
      <c r="F763" s="5" t="s">
        <v>17</v>
      </c>
      <c r="G763" s="5" t="s">
        <v>18</v>
      </c>
      <c r="H763" s="3"/>
      <c r="I763" s="3"/>
      <c r="J763" s="3"/>
      <c r="K763" s="5" t="s">
        <v>19</v>
      </c>
      <c r="L763" s="5">
        <v>71.95</v>
      </c>
      <c r="M763" s="2" t="s">
        <v>2501</v>
      </c>
    </row>
    <row r="764" spans="1:13" x14ac:dyDescent="0.25">
      <c r="A764" s="5" t="str">
        <f>"6271002190318"</f>
        <v>6271002190318</v>
      </c>
      <c r="B764" s="2" t="s">
        <v>2502</v>
      </c>
      <c r="C764" s="2" t="s">
        <v>2503</v>
      </c>
      <c r="D764" s="5" t="s">
        <v>15</v>
      </c>
      <c r="E764" s="5" t="s">
        <v>16</v>
      </c>
      <c r="F764" s="5" t="s">
        <v>17</v>
      </c>
      <c r="G764" s="5" t="s">
        <v>18</v>
      </c>
      <c r="H764" s="3" t="s">
        <v>100</v>
      </c>
      <c r="I764" s="3" t="s">
        <v>1741</v>
      </c>
      <c r="J764" s="3" t="s">
        <v>60</v>
      </c>
      <c r="K764" s="5" t="s">
        <v>23</v>
      </c>
      <c r="L764" s="5">
        <v>1.5</v>
      </c>
      <c r="M764" s="2" t="s">
        <v>2504</v>
      </c>
    </row>
    <row r="765" spans="1:13" x14ac:dyDescent="0.25">
      <c r="A765" s="5" t="str">
        <f>"6281039711219"</f>
        <v>6281039711219</v>
      </c>
      <c r="B765" s="2" t="s">
        <v>2505</v>
      </c>
      <c r="C765" s="2" t="s">
        <v>2506</v>
      </c>
      <c r="D765" s="5" t="s">
        <v>15</v>
      </c>
      <c r="E765" s="5" t="s">
        <v>16</v>
      </c>
      <c r="F765" s="5" t="s">
        <v>17</v>
      </c>
      <c r="G765" s="5" t="s">
        <v>18</v>
      </c>
      <c r="H765" s="3" t="s">
        <v>146</v>
      </c>
      <c r="I765" s="3"/>
      <c r="J765" s="3" t="s">
        <v>28</v>
      </c>
      <c r="K765" s="5" t="s">
        <v>23</v>
      </c>
      <c r="L765" s="5">
        <v>11.75</v>
      </c>
      <c r="M765" s="2" t="s">
        <v>2507</v>
      </c>
    </row>
    <row r="766" spans="1:13" x14ac:dyDescent="0.25">
      <c r="A766" s="5" t="str">
        <f>"6281022105209"</f>
        <v>6281022105209</v>
      </c>
      <c r="B766" s="2" t="s">
        <v>2508</v>
      </c>
      <c r="C766" s="2" t="s">
        <v>2509</v>
      </c>
      <c r="D766" s="5" t="s">
        <v>15</v>
      </c>
      <c r="E766" s="5" t="s">
        <v>16</v>
      </c>
      <c r="F766" s="5" t="s">
        <v>17</v>
      </c>
      <c r="G766" s="5" t="s">
        <v>18</v>
      </c>
      <c r="H766" s="3"/>
      <c r="I766" s="3"/>
      <c r="J766" s="3" t="s">
        <v>1285</v>
      </c>
      <c r="K766" s="5" t="s">
        <v>23</v>
      </c>
      <c r="L766" s="5">
        <v>7.25</v>
      </c>
      <c r="M766" s="2" t="s">
        <v>2510</v>
      </c>
    </row>
    <row r="767" spans="1:13" x14ac:dyDescent="0.25">
      <c r="A767" s="5" t="str">
        <f>"6281057015986"</f>
        <v>6281057015986</v>
      </c>
      <c r="B767" s="2" t="s">
        <v>2511</v>
      </c>
      <c r="C767" s="2" t="s">
        <v>2512</v>
      </c>
      <c r="D767" s="5" t="s">
        <v>15</v>
      </c>
      <c r="E767" s="5" t="s">
        <v>16</v>
      </c>
      <c r="F767" s="5" t="s">
        <v>17</v>
      </c>
      <c r="G767" s="5" t="s">
        <v>18</v>
      </c>
      <c r="H767" s="3" t="s">
        <v>44</v>
      </c>
      <c r="I767" s="3"/>
      <c r="J767" s="3" t="s">
        <v>354</v>
      </c>
      <c r="K767" s="5" t="s">
        <v>23</v>
      </c>
      <c r="L767" s="5">
        <v>7.95</v>
      </c>
      <c r="M767" s="2" t="s">
        <v>2513</v>
      </c>
    </row>
    <row r="768" spans="1:13" x14ac:dyDescent="0.25">
      <c r="A768" s="5" t="str">
        <f>"9009301000376"</f>
        <v>9009301000376</v>
      </c>
      <c r="B768" s="2" t="s">
        <v>2514</v>
      </c>
      <c r="C768" s="2" t="s">
        <v>2515</v>
      </c>
      <c r="D768" s="5" t="s">
        <v>15</v>
      </c>
      <c r="E768" s="5" t="s">
        <v>16</v>
      </c>
      <c r="F768" s="5" t="s">
        <v>17</v>
      </c>
      <c r="G768" s="5" t="s">
        <v>18</v>
      </c>
      <c r="H768" s="3" t="s">
        <v>27</v>
      </c>
      <c r="I768" s="3"/>
      <c r="J768" s="3"/>
      <c r="K768" s="5" t="s">
        <v>23</v>
      </c>
      <c r="L768" s="5">
        <v>11.25</v>
      </c>
      <c r="M768" s="2" t="s">
        <v>2516</v>
      </c>
    </row>
    <row r="769" spans="1:13" x14ac:dyDescent="0.25">
      <c r="A769" s="5" t="str">
        <f>"6281022114126"</f>
        <v>6281022114126</v>
      </c>
      <c r="B769" s="2" t="s">
        <v>2517</v>
      </c>
      <c r="C769" s="2" t="s">
        <v>2518</v>
      </c>
      <c r="D769" s="5" t="s">
        <v>15</v>
      </c>
      <c r="E769" s="5" t="s">
        <v>16</v>
      </c>
      <c r="F769" s="5" t="s">
        <v>17</v>
      </c>
      <c r="G769" s="5" t="s">
        <v>18</v>
      </c>
      <c r="H769" s="3"/>
      <c r="I769" s="3"/>
      <c r="J769" s="3" t="s">
        <v>2030</v>
      </c>
      <c r="K769" s="5" t="s">
        <v>23</v>
      </c>
      <c r="L769" s="5">
        <v>10.25</v>
      </c>
      <c r="M769" s="2" t="s">
        <v>2519</v>
      </c>
    </row>
    <row r="770" spans="1:13" x14ac:dyDescent="0.25">
      <c r="A770" s="5" t="str">
        <f>"2145271000002"</f>
        <v>2145271000002</v>
      </c>
      <c r="B770" s="2" t="s">
        <v>2520</v>
      </c>
      <c r="C770" s="2" t="s">
        <v>2521</v>
      </c>
      <c r="D770" s="5" t="s">
        <v>15</v>
      </c>
      <c r="E770" s="5" t="s">
        <v>16</v>
      </c>
      <c r="F770" s="5" t="s">
        <v>17</v>
      </c>
      <c r="G770" s="5" t="s">
        <v>18</v>
      </c>
      <c r="H770" s="3"/>
      <c r="I770" s="3" t="s">
        <v>33</v>
      </c>
      <c r="J770" s="3" t="s">
        <v>1642</v>
      </c>
      <c r="K770" s="5" t="s">
        <v>19</v>
      </c>
      <c r="L770" s="5">
        <v>47.95</v>
      </c>
      <c r="M770" s="2" t="s">
        <v>2522</v>
      </c>
    </row>
    <row r="771" spans="1:13" x14ac:dyDescent="0.25">
      <c r="A771" s="5" t="str">
        <f>"6271002118411"</f>
        <v>6271002118411</v>
      </c>
      <c r="B771" s="2" t="s">
        <v>2523</v>
      </c>
      <c r="C771" s="2" t="s">
        <v>2524</v>
      </c>
      <c r="D771" s="5" t="s">
        <v>15</v>
      </c>
      <c r="E771" s="5" t="s">
        <v>16</v>
      </c>
      <c r="F771" s="5" t="s">
        <v>17</v>
      </c>
      <c r="G771" s="5" t="s">
        <v>18</v>
      </c>
      <c r="H771" s="3" t="s">
        <v>100</v>
      </c>
      <c r="I771" s="3" t="s">
        <v>1741</v>
      </c>
      <c r="J771" s="3" t="s">
        <v>2261</v>
      </c>
      <c r="K771" s="5" t="s">
        <v>23</v>
      </c>
      <c r="L771" s="5">
        <v>1.25</v>
      </c>
      <c r="M771" s="2" t="s">
        <v>2525</v>
      </c>
    </row>
    <row r="772" spans="1:13" x14ac:dyDescent="0.25">
      <c r="A772" s="5" t="str">
        <f>"8719200274990"</f>
        <v>8719200274990</v>
      </c>
      <c r="B772" s="2" t="s">
        <v>2526</v>
      </c>
      <c r="C772" s="2" t="s">
        <v>2527</v>
      </c>
      <c r="D772" s="5" t="s">
        <v>15</v>
      </c>
      <c r="E772" s="5" t="s">
        <v>16</v>
      </c>
      <c r="F772" s="5" t="s">
        <v>17</v>
      </c>
      <c r="G772" s="5" t="s">
        <v>18</v>
      </c>
      <c r="H772" s="3"/>
      <c r="I772" s="3"/>
      <c r="J772" s="3" t="s">
        <v>2528</v>
      </c>
      <c r="K772" s="5" t="s">
        <v>23</v>
      </c>
      <c r="L772" s="5">
        <v>9.5</v>
      </c>
      <c r="M772" s="2" t="s">
        <v>2529</v>
      </c>
    </row>
    <row r="773" spans="1:13" x14ac:dyDescent="0.25">
      <c r="A773" s="5" t="str">
        <f>"2142677000001"</f>
        <v>2142677000001</v>
      </c>
      <c r="B773" s="2" t="s">
        <v>2530</v>
      </c>
      <c r="C773" s="2" t="s">
        <v>2531</v>
      </c>
      <c r="D773" s="5" t="s">
        <v>15</v>
      </c>
      <c r="E773" s="5" t="s">
        <v>16</v>
      </c>
      <c r="F773" s="5" t="s">
        <v>17</v>
      </c>
      <c r="G773" s="5" t="s">
        <v>18</v>
      </c>
      <c r="H773" s="3"/>
      <c r="I773" s="3"/>
      <c r="J773" s="3"/>
      <c r="K773" s="5" t="s">
        <v>19</v>
      </c>
      <c r="L773" s="5">
        <v>31.95</v>
      </c>
      <c r="M773" s="2" t="s">
        <v>2532</v>
      </c>
    </row>
    <row r="774" spans="1:13" x14ac:dyDescent="0.25">
      <c r="A774" s="5" t="str">
        <f>"6297001083543"</f>
        <v>6297001083543</v>
      </c>
      <c r="B774" s="2" t="s">
        <v>2533</v>
      </c>
      <c r="C774" s="2" t="s">
        <v>2534</v>
      </c>
      <c r="D774" s="5" t="s">
        <v>15</v>
      </c>
      <c r="E774" s="5" t="s">
        <v>16</v>
      </c>
      <c r="F774" s="5" t="s">
        <v>17</v>
      </c>
      <c r="G774" s="5" t="s">
        <v>18</v>
      </c>
      <c r="H774" s="3" t="s">
        <v>539</v>
      </c>
      <c r="I774" s="3"/>
      <c r="J774" s="3" t="s">
        <v>510</v>
      </c>
      <c r="K774" s="5" t="s">
        <v>23</v>
      </c>
      <c r="L774" s="5">
        <v>32</v>
      </c>
      <c r="M774" s="2" t="s">
        <v>2535</v>
      </c>
    </row>
    <row r="775" spans="1:13" x14ac:dyDescent="0.25">
      <c r="A775" s="5" t="str">
        <f>"6253012900514"</f>
        <v>6253012900514</v>
      </c>
      <c r="B775" s="2" t="s">
        <v>2536</v>
      </c>
      <c r="C775" s="2" t="s">
        <v>2537</v>
      </c>
      <c r="D775" s="5" t="s">
        <v>15</v>
      </c>
      <c r="E775" s="5" t="s">
        <v>16</v>
      </c>
      <c r="F775" s="5" t="s">
        <v>17</v>
      </c>
      <c r="G775" s="5" t="s">
        <v>18</v>
      </c>
      <c r="H775" s="3"/>
      <c r="I775" s="3"/>
      <c r="J775" s="3"/>
      <c r="K775" s="5" t="s">
        <v>23</v>
      </c>
      <c r="L775" s="5">
        <v>19.75</v>
      </c>
      <c r="M775" s="2" t="s">
        <v>2538</v>
      </c>
    </row>
    <row r="776" spans="1:13" x14ac:dyDescent="0.25">
      <c r="A776" s="5" t="str">
        <f>"5202390021848"</f>
        <v>5202390021848</v>
      </c>
      <c r="B776" s="2" t="s">
        <v>2539</v>
      </c>
      <c r="C776" s="2" t="s">
        <v>2540</v>
      </c>
      <c r="D776" s="5" t="s">
        <v>15</v>
      </c>
      <c r="E776" s="5" t="s">
        <v>16</v>
      </c>
      <c r="F776" s="5" t="s">
        <v>17</v>
      </c>
      <c r="G776" s="5" t="s">
        <v>18</v>
      </c>
      <c r="H776" s="3"/>
      <c r="I776" s="3"/>
      <c r="J776" s="3"/>
      <c r="K776" s="5" t="s">
        <v>23</v>
      </c>
      <c r="L776" s="5">
        <v>17.5</v>
      </c>
      <c r="M776" s="2" t="s">
        <v>2541</v>
      </c>
    </row>
    <row r="777" spans="1:13" x14ac:dyDescent="0.25">
      <c r="A777" s="5" t="str">
        <f>"6281057009077"</f>
        <v>6281057009077</v>
      </c>
      <c r="B777" s="2" t="s">
        <v>2542</v>
      </c>
      <c r="C777" s="2" t="s">
        <v>2543</v>
      </c>
      <c r="D777" s="5" t="s">
        <v>15</v>
      </c>
      <c r="E777" s="5" t="s">
        <v>16</v>
      </c>
      <c r="F777" s="5" t="s">
        <v>17</v>
      </c>
      <c r="G777" s="5" t="s">
        <v>18</v>
      </c>
      <c r="H777" s="3" t="s">
        <v>44</v>
      </c>
      <c r="I777" s="3"/>
      <c r="J777" s="3"/>
      <c r="K777" s="5" t="s">
        <v>23</v>
      </c>
      <c r="L777" s="5">
        <v>6.75</v>
      </c>
      <c r="M777" s="2" t="s">
        <v>2544</v>
      </c>
    </row>
    <row r="778" spans="1:13" x14ac:dyDescent="0.25">
      <c r="A778" s="5" t="str">
        <f>"6297000670256"</f>
        <v>6297000670256</v>
      </c>
      <c r="B778" s="2" t="s">
        <v>2545</v>
      </c>
      <c r="C778" s="2" t="s">
        <v>2546</v>
      </c>
      <c r="D778" s="5" t="s">
        <v>15</v>
      </c>
      <c r="E778" s="5" t="s">
        <v>16</v>
      </c>
      <c r="F778" s="5" t="s">
        <v>17</v>
      </c>
      <c r="G778" s="5" t="s">
        <v>18</v>
      </c>
      <c r="H778" s="3" t="s">
        <v>539</v>
      </c>
      <c r="I778" s="3"/>
      <c r="J778" s="3" t="s">
        <v>109</v>
      </c>
      <c r="K778" s="5" t="s">
        <v>23</v>
      </c>
      <c r="L778" s="5">
        <v>14</v>
      </c>
      <c r="M778" s="2" t="s">
        <v>2547</v>
      </c>
    </row>
    <row r="779" spans="1:13" x14ac:dyDescent="0.25">
      <c r="A779" s="5" t="str">
        <f>"3023260032175"</f>
        <v>3023260032175</v>
      </c>
      <c r="B779" s="2" t="s">
        <v>2548</v>
      </c>
      <c r="C779" s="2" t="s">
        <v>2549</v>
      </c>
      <c r="D779" s="5" t="s">
        <v>15</v>
      </c>
      <c r="E779" s="5" t="s">
        <v>16</v>
      </c>
      <c r="F779" s="5" t="s">
        <v>17</v>
      </c>
      <c r="G779" s="5" t="s">
        <v>18</v>
      </c>
      <c r="H779" s="3" t="s">
        <v>889</v>
      </c>
      <c r="I779" s="3" t="s">
        <v>108</v>
      </c>
      <c r="J779" s="3" t="s">
        <v>28</v>
      </c>
      <c r="K779" s="5" t="s">
        <v>23</v>
      </c>
      <c r="L779" s="5">
        <v>17.25</v>
      </c>
      <c r="M779" s="2" t="s">
        <v>2550</v>
      </c>
    </row>
    <row r="780" spans="1:13" x14ac:dyDescent="0.25">
      <c r="A780" s="5" t="str">
        <f>"6281022112115"</f>
        <v>6281022112115</v>
      </c>
      <c r="B780" s="2" t="s">
        <v>2551</v>
      </c>
      <c r="C780" s="2" t="s">
        <v>2552</v>
      </c>
      <c r="D780" s="5" t="s">
        <v>15</v>
      </c>
      <c r="E780" s="5" t="s">
        <v>16</v>
      </c>
      <c r="F780" s="5" t="s">
        <v>17</v>
      </c>
      <c r="G780" s="5" t="s">
        <v>18</v>
      </c>
      <c r="H780" s="3"/>
      <c r="I780" s="3"/>
      <c r="J780" s="3"/>
      <c r="K780" s="5" t="s">
        <v>23</v>
      </c>
      <c r="L780" s="5">
        <v>2</v>
      </c>
      <c r="M780" s="2" t="s">
        <v>2553</v>
      </c>
    </row>
    <row r="781" spans="1:13" x14ac:dyDescent="0.25">
      <c r="A781" s="5" t="str">
        <f>"6285835000782"</f>
        <v>6285835000782</v>
      </c>
      <c r="B781" s="2" t="s">
        <v>2554</v>
      </c>
      <c r="C781" s="2" t="s">
        <v>2555</v>
      </c>
      <c r="D781" s="5" t="s">
        <v>15</v>
      </c>
      <c r="E781" s="5" t="s">
        <v>16</v>
      </c>
      <c r="F781" s="5" t="s">
        <v>17</v>
      </c>
      <c r="G781" s="5" t="s">
        <v>18</v>
      </c>
      <c r="H781" s="3" t="s">
        <v>1921</v>
      </c>
      <c r="I781" s="3"/>
      <c r="J781" s="3" t="s">
        <v>2556</v>
      </c>
      <c r="K781" s="5" t="s">
        <v>23</v>
      </c>
      <c r="L781" s="5">
        <v>16.75</v>
      </c>
      <c r="M781" s="2" t="s">
        <v>2557</v>
      </c>
    </row>
    <row r="782" spans="1:13" x14ac:dyDescent="0.25">
      <c r="A782" s="5" t="str">
        <f>"6281024010914"</f>
        <v>6281024010914</v>
      </c>
      <c r="B782" s="2" t="s">
        <v>2558</v>
      </c>
      <c r="C782" s="2" t="s">
        <v>2559</v>
      </c>
      <c r="D782" s="5" t="s">
        <v>15</v>
      </c>
      <c r="E782" s="5" t="s">
        <v>16</v>
      </c>
      <c r="F782" s="5" t="s">
        <v>17</v>
      </c>
      <c r="G782" s="5" t="s">
        <v>18</v>
      </c>
      <c r="H782" s="3" t="s">
        <v>979</v>
      </c>
      <c r="I782" s="3" t="s">
        <v>33</v>
      </c>
      <c r="J782" s="3" t="s">
        <v>109</v>
      </c>
      <c r="K782" s="5" t="s">
        <v>23</v>
      </c>
      <c r="L782" s="5">
        <v>17</v>
      </c>
      <c r="M782" s="2" t="s">
        <v>2560</v>
      </c>
    </row>
    <row r="783" spans="1:13" x14ac:dyDescent="0.25">
      <c r="A783" s="5" t="str">
        <f>"6281039163216"</f>
        <v>6281039163216</v>
      </c>
      <c r="B783" s="2" t="s">
        <v>2561</v>
      </c>
      <c r="C783" s="2" t="s">
        <v>2562</v>
      </c>
      <c r="D783" s="5" t="s">
        <v>15</v>
      </c>
      <c r="E783" s="5" t="s">
        <v>16</v>
      </c>
      <c r="F783" s="5" t="s">
        <v>17</v>
      </c>
      <c r="G783" s="5" t="s">
        <v>18</v>
      </c>
      <c r="H783" s="3" t="s">
        <v>146</v>
      </c>
      <c r="I783" s="3"/>
      <c r="J783" s="3"/>
      <c r="K783" s="5" t="s">
        <v>23</v>
      </c>
      <c r="L783" s="5">
        <v>2</v>
      </c>
      <c r="M783" s="2" t="s">
        <v>2563</v>
      </c>
    </row>
    <row r="784" spans="1:13" x14ac:dyDescent="0.25">
      <c r="A784" s="5" t="str">
        <f>"6281051002203"</f>
        <v>6281051002203</v>
      </c>
      <c r="B784" s="2" t="s">
        <v>2564</v>
      </c>
      <c r="C784" s="2" t="s">
        <v>2565</v>
      </c>
      <c r="D784" s="5" t="s">
        <v>15</v>
      </c>
      <c r="E784" s="5" t="s">
        <v>16</v>
      </c>
      <c r="F784" s="5" t="s">
        <v>17</v>
      </c>
      <c r="G784" s="5" t="s">
        <v>18</v>
      </c>
      <c r="H784" s="3" t="s">
        <v>83</v>
      </c>
      <c r="I784" s="3"/>
      <c r="J784" s="3"/>
      <c r="K784" s="5" t="s">
        <v>23</v>
      </c>
      <c r="L784" s="5">
        <v>5</v>
      </c>
      <c r="M784" s="2" t="s">
        <v>2566</v>
      </c>
    </row>
    <row r="785" spans="1:13" x14ac:dyDescent="0.25">
      <c r="A785" s="5" t="str">
        <f>"2147534000002"</f>
        <v>2147534000002</v>
      </c>
      <c r="B785" s="2" t="s">
        <v>2567</v>
      </c>
      <c r="C785" s="2" t="s">
        <v>2568</v>
      </c>
      <c r="D785" s="5" t="s">
        <v>15</v>
      </c>
      <c r="E785" s="5" t="s">
        <v>16</v>
      </c>
      <c r="F785" s="5" t="s">
        <v>17</v>
      </c>
      <c r="G785" s="5" t="s">
        <v>18</v>
      </c>
      <c r="H785" s="3"/>
      <c r="I785" s="3"/>
      <c r="J785" s="3"/>
      <c r="K785" s="5" t="s">
        <v>23</v>
      </c>
      <c r="L785" s="5">
        <v>109.95</v>
      </c>
      <c r="M785" s="2" t="s">
        <v>2569</v>
      </c>
    </row>
    <row r="786" spans="1:13" x14ac:dyDescent="0.25">
      <c r="A786" s="5" t="str">
        <f>"6281022183320"</f>
        <v>6281022183320</v>
      </c>
      <c r="B786" s="2" t="s">
        <v>2570</v>
      </c>
      <c r="C786" s="2" t="s">
        <v>2571</v>
      </c>
      <c r="D786" s="5" t="s">
        <v>15</v>
      </c>
      <c r="E786" s="5" t="s">
        <v>16</v>
      </c>
      <c r="F786" s="5" t="s">
        <v>17</v>
      </c>
      <c r="G786" s="5" t="s">
        <v>18</v>
      </c>
      <c r="H786" s="3"/>
      <c r="I786" s="3"/>
      <c r="J786" s="3" t="s">
        <v>2347</v>
      </c>
      <c r="K786" s="5" t="s">
        <v>23</v>
      </c>
      <c r="L786" s="5">
        <v>2</v>
      </c>
      <c r="M786" s="2" t="s">
        <v>2572</v>
      </c>
    </row>
    <row r="787" spans="1:13" x14ac:dyDescent="0.25">
      <c r="A787" s="5" t="str">
        <f>"6253012900521"</f>
        <v>6253012900521</v>
      </c>
      <c r="B787" s="2" t="s">
        <v>2573</v>
      </c>
      <c r="C787" s="2" t="s">
        <v>2574</v>
      </c>
      <c r="D787" s="5" t="s">
        <v>15</v>
      </c>
      <c r="E787" s="5" t="s">
        <v>16</v>
      </c>
      <c r="F787" s="5" t="s">
        <v>17</v>
      </c>
      <c r="G787" s="5" t="s">
        <v>18</v>
      </c>
      <c r="H787" s="3"/>
      <c r="I787" s="3" t="s">
        <v>2037</v>
      </c>
      <c r="J787" s="3" t="s">
        <v>371</v>
      </c>
      <c r="K787" s="5" t="s">
        <v>23</v>
      </c>
      <c r="L787" s="5">
        <v>20</v>
      </c>
      <c r="M787" s="2" t="s">
        <v>2575</v>
      </c>
    </row>
    <row r="788" spans="1:13" x14ac:dyDescent="0.25">
      <c r="A788" s="5" t="str">
        <f>"6281007037648"</f>
        <v>6281007037648</v>
      </c>
      <c r="B788" s="2" t="s">
        <v>2576</v>
      </c>
      <c r="C788" s="2" t="s">
        <v>2577</v>
      </c>
      <c r="D788" s="5" t="s">
        <v>15</v>
      </c>
      <c r="E788" s="5" t="s">
        <v>16</v>
      </c>
      <c r="F788" s="5" t="s">
        <v>17</v>
      </c>
      <c r="G788" s="5" t="s">
        <v>18</v>
      </c>
      <c r="H788" s="3" t="s">
        <v>32</v>
      </c>
      <c r="I788" s="3"/>
      <c r="J788" s="3"/>
      <c r="K788" s="5" t="s">
        <v>23</v>
      </c>
      <c r="L788" s="5">
        <v>48</v>
      </c>
      <c r="M788" s="2" t="s">
        <v>2578</v>
      </c>
    </row>
    <row r="789" spans="1:13" x14ac:dyDescent="0.25">
      <c r="A789" s="5" t="str">
        <f>"6281048105580"</f>
        <v>6281048105580</v>
      </c>
      <c r="B789" s="2" t="s">
        <v>2579</v>
      </c>
      <c r="C789" s="2" t="s">
        <v>2580</v>
      </c>
      <c r="D789" s="5" t="s">
        <v>15</v>
      </c>
      <c r="E789" s="5" t="s">
        <v>16</v>
      </c>
      <c r="F789" s="5" t="s">
        <v>17</v>
      </c>
      <c r="G789" s="5" t="s">
        <v>18</v>
      </c>
      <c r="H789" s="3" t="s">
        <v>27</v>
      </c>
      <c r="I789" s="3"/>
      <c r="J789" s="3"/>
      <c r="K789" s="5" t="s">
        <v>23</v>
      </c>
      <c r="L789" s="5">
        <v>4.95</v>
      </c>
      <c r="M789" s="2" t="s">
        <v>2581</v>
      </c>
    </row>
    <row r="790" spans="1:13" x14ac:dyDescent="0.25">
      <c r="A790" s="5" t="str">
        <f>"6281022115710"</f>
        <v>6281022115710</v>
      </c>
      <c r="B790" s="2" t="s">
        <v>2582</v>
      </c>
      <c r="C790" s="2" t="s">
        <v>2583</v>
      </c>
      <c r="D790" s="5" t="s">
        <v>15</v>
      </c>
      <c r="E790" s="5" t="s">
        <v>16</v>
      </c>
      <c r="F790" s="5" t="s">
        <v>17</v>
      </c>
      <c r="G790" s="5" t="s">
        <v>18</v>
      </c>
      <c r="H790" s="3" t="s">
        <v>184</v>
      </c>
      <c r="I790" s="3"/>
      <c r="J790" s="3" t="s">
        <v>60</v>
      </c>
      <c r="K790" s="5" t="s">
        <v>23</v>
      </c>
      <c r="L790" s="5">
        <v>2.25</v>
      </c>
      <c r="M790" s="2" t="s">
        <v>2584</v>
      </c>
    </row>
    <row r="791" spans="1:13" x14ac:dyDescent="0.25">
      <c r="A791" s="5" t="str">
        <f>"6281020174900"</f>
        <v>6281020174900</v>
      </c>
      <c r="B791" s="2" t="s">
        <v>2585</v>
      </c>
      <c r="C791" s="2" t="s">
        <v>2586</v>
      </c>
      <c r="D791" s="5" t="s">
        <v>15</v>
      </c>
      <c r="E791" s="5" t="s">
        <v>16</v>
      </c>
      <c r="F791" s="5" t="s">
        <v>17</v>
      </c>
      <c r="G791" s="5" t="s">
        <v>18</v>
      </c>
      <c r="H791" s="3" t="s">
        <v>1146</v>
      </c>
      <c r="I791" s="3"/>
      <c r="J791" s="3" t="s">
        <v>2488</v>
      </c>
      <c r="K791" s="5" t="s">
        <v>23</v>
      </c>
      <c r="L791" s="5">
        <v>8.25</v>
      </c>
      <c r="M791" s="2" t="s">
        <v>2587</v>
      </c>
    </row>
    <row r="792" spans="1:13" x14ac:dyDescent="0.25">
      <c r="A792" s="5" t="str">
        <f>"6281022153354"</f>
        <v>6281022153354</v>
      </c>
      <c r="B792" s="2" t="s">
        <v>2588</v>
      </c>
      <c r="C792" s="2" t="s">
        <v>2589</v>
      </c>
      <c r="D792" s="5" t="s">
        <v>15</v>
      </c>
      <c r="E792" s="5" t="s">
        <v>16</v>
      </c>
      <c r="F792" s="5" t="s">
        <v>17</v>
      </c>
      <c r="G792" s="5" t="s">
        <v>18</v>
      </c>
      <c r="H792" s="3"/>
      <c r="I792" s="3"/>
      <c r="J792" s="3"/>
      <c r="K792" s="5" t="s">
        <v>23</v>
      </c>
      <c r="L792" s="5">
        <v>37.25</v>
      </c>
      <c r="M792" s="2" t="s">
        <v>2590</v>
      </c>
    </row>
    <row r="793" spans="1:13" x14ac:dyDescent="0.25">
      <c r="A793" s="5" t="str">
        <f>"6281057050086"</f>
        <v>6281057050086</v>
      </c>
      <c r="B793" s="2" t="s">
        <v>2591</v>
      </c>
      <c r="C793" s="2" t="s">
        <v>2592</v>
      </c>
      <c r="D793" s="5" t="s">
        <v>15</v>
      </c>
      <c r="E793" s="5" t="s">
        <v>16</v>
      </c>
      <c r="F793" s="5" t="s">
        <v>17</v>
      </c>
      <c r="G793" s="5" t="s">
        <v>18</v>
      </c>
      <c r="H793" s="3" t="s">
        <v>44</v>
      </c>
      <c r="I793" s="3"/>
      <c r="J793" s="3"/>
      <c r="K793" s="5" t="s">
        <v>23</v>
      </c>
      <c r="L793" s="5">
        <v>19</v>
      </c>
      <c r="M793" s="2" t="s">
        <v>2593</v>
      </c>
    </row>
    <row r="794" spans="1:13" x14ac:dyDescent="0.25">
      <c r="A794" s="5" t="str">
        <f>"6281022160659"</f>
        <v>6281022160659</v>
      </c>
      <c r="B794" s="2" t="s">
        <v>2594</v>
      </c>
      <c r="C794" s="2" t="s">
        <v>2595</v>
      </c>
      <c r="D794" s="5" t="s">
        <v>15</v>
      </c>
      <c r="E794" s="5" t="s">
        <v>16</v>
      </c>
      <c r="F794" s="5" t="s">
        <v>17</v>
      </c>
      <c r="G794" s="5" t="s">
        <v>18</v>
      </c>
      <c r="H794" s="3" t="s">
        <v>184</v>
      </c>
      <c r="I794" s="3"/>
      <c r="J794" s="3" t="s">
        <v>72</v>
      </c>
      <c r="K794" s="5" t="s">
        <v>23</v>
      </c>
      <c r="L794" s="5">
        <v>4</v>
      </c>
      <c r="M794" s="2" t="s">
        <v>2596</v>
      </c>
    </row>
    <row r="795" spans="1:13" x14ac:dyDescent="0.25">
      <c r="A795" s="5" t="str">
        <f>"5411188140863"</f>
        <v>5411188140863</v>
      </c>
      <c r="B795" s="2" t="s">
        <v>2597</v>
      </c>
      <c r="C795" s="2" t="s">
        <v>2598</v>
      </c>
      <c r="D795" s="5" t="s">
        <v>15</v>
      </c>
      <c r="E795" s="5" t="s">
        <v>16</v>
      </c>
      <c r="F795" s="5" t="s">
        <v>17</v>
      </c>
      <c r="G795" s="5" t="s">
        <v>18</v>
      </c>
      <c r="H795" s="3" t="s">
        <v>59</v>
      </c>
      <c r="I795" s="3"/>
      <c r="J795" s="3" t="s">
        <v>1967</v>
      </c>
      <c r="K795" s="5" t="s">
        <v>23</v>
      </c>
      <c r="L795" s="5">
        <v>26.95</v>
      </c>
      <c r="M795" s="2" t="s">
        <v>2599</v>
      </c>
    </row>
    <row r="796" spans="1:13" x14ac:dyDescent="0.25">
      <c r="A796" s="5" t="str">
        <f>"6281018120865"</f>
        <v>6281018120865</v>
      </c>
      <c r="B796" s="2" t="s">
        <v>2600</v>
      </c>
      <c r="C796" s="2" t="s">
        <v>2601</v>
      </c>
      <c r="D796" s="5" t="s">
        <v>15</v>
      </c>
      <c r="E796" s="5" t="s">
        <v>16</v>
      </c>
      <c r="F796" s="5" t="s">
        <v>17</v>
      </c>
      <c r="G796" s="5" t="s">
        <v>18</v>
      </c>
      <c r="H796" s="3" t="s">
        <v>67</v>
      </c>
      <c r="I796" s="3"/>
      <c r="J796" s="3"/>
      <c r="K796" s="5" t="s">
        <v>23</v>
      </c>
      <c r="L796" s="5">
        <v>5</v>
      </c>
      <c r="M796" s="2" t="s">
        <v>2602</v>
      </c>
    </row>
    <row r="797" spans="1:13" x14ac:dyDescent="0.25">
      <c r="A797" s="5" t="str">
        <f>"6281022114089"</f>
        <v>6281022114089</v>
      </c>
      <c r="B797" s="2" t="s">
        <v>2603</v>
      </c>
      <c r="C797" s="2" t="s">
        <v>2604</v>
      </c>
      <c r="D797" s="5" t="s">
        <v>15</v>
      </c>
      <c r="E797" s="5" t="s">
        <v>16</v>
      </c>
      <c r="F797" s="5" t="s">
        <v>17</v>
      </c>
      <c r="G797" s="5" t="s">
        <v>18</v>
      </c>
      <c r="H797" s="3" t="s">
        <v>2605</v>
      </c>
      <c r="I797" s="3"/>
      <c r="J797" s="3" t="s">
        <v>2172</v>
      </c>
      <c r="K797" s="5" t="s">
        <v>23</v>
      </c>
      <c r="L797" s="5">
        <v>3.25</v>
      </c>
      <c r="M797" s="2" t="s">
        <v>2606</v>
      </c>
    </row>
    <row r="798" spans="1:13" x14ac:dyDescent="0.25">
      <c r="A798" s="5" t="str">
        <f>"2144141000005"</f>
        <v>2144141000005</v>
      </c>
      <c r="B798" s="2" t="s">
        <v>2607</v>
      </c>
      <c r="C798" s="2" t="s">
        <v>2608</v>
      </c>
      <c r="D798" s="5" t="s">
        <v>15</v>
      </c>
      <c r="E798" s="5" t="s">
        <v>16</v>
      </c>
      <c r="F798" s="5" t="s">
        <v>17</v>
      </c>
      <c r="G798" s="5" t="s">
        <v>18</v>
      </c>
      <c r="H798" s="3"/>
      <c r="I798" s="3"/>
      <c r="J798" s="3"/>
      <c r="K798" s="5" t="s">
        <v>19</v>
      </c>
      <c r="L798" s="5">
        <v>39.950000000000003</v>
      </c>
      <c r="M798" s="2" t="s">
        <v>2609</v>
      </c>
    </row>
    <row r="799" spans="1:13" x14ac:dyDescent="0.25">
      <c r="A799" s="5" t="str">
        <f>"5711953175978"</f>
        <v>5711953175978</v>
      </c>
      <c r="B799" s="2" t="s">
        <v>2610</v>
      </c>
      <c r="C799" s="2" t="s">
        <v>2611</v>
      </c>
      <c r="D799" s="5" t="s">
        <v>15</v>
      </c>
      <c r="E799" s="5" t="s">
        <v>16</v>
      </c>
      <c r="F799" s="5" t="s">
        <v>17</v>
      </c>
      <c r="G799" s="5" t="s">
        <v>18</v>
      </c>
      <c r="H799" s="3" t="s">
        <v>1921</v>
      </c>
      <c r="I799" s="3"/>
      <c r="J799" s="3" t="s">
        <v>2612</v>
      </c>
      <c r="K799" s="5" t="s">
        <v>23</v>
      </c>
      <c r="L799" s="5">
        <v>6.75</v>
      </c>
      <c r="M799" s="2" t="s">
        <v>2613</v>
      </c>
    </row>
    <row r="800" spans="1:13" x14ac:dyDescent="0.25">
      <c r="A800" s="5" t="str">
        <f>"6281039172515"</f>
        <v>6281039172515</v>
      </c>
      <c r="B800" s="2" t="s">
        <v>2614</v>
      </c>
      <c r="C800" s="2" t="s">
        <v>2615</v>
      </c>
      <c r="D800" s="5" t="s">
        <v>15</v>
      </c>
      <c r="E800" s="5" t="s">
        <v>16</v>
      </c>
      <c r="F800" s="5" t="s">
        <v>17</v>
      </c>
      <c r="G800" s="5" t="s">
        <v>18</v>
      </c>
      <c r="H800" s="3" t="s">
        <v>146</v>
      </c>
      <c r="I800" s="3"/>
      <c r="J800" s="3"/>
      <c r="K800" s="5" t="s">
        <v>23</v>
      </c>
      <c r="L800" s="5">
        <v>1.25</v>
      </c>
      <c r="M800" s="2" t="s">
        <v>2616</v>
      </c>
    </row>
    <row r="801" spans="1:13" x14ac:dyDescent="0.25">
      <c r="A801" s="5" t="str">
        <f>"6281057002719"</f>
        <v>6281057002719</v>
      </c>
      <c r="B801" s="2" t="s">
        <v>2617</v>
      </c>
      <c r="C801" s="2" t="s">
        <v>2618</v>
      </c>
      <c r="D801" s="5" t="s">
        <v>15</v>
      </c>
      <c r="E801" s="5" t="s">
        <v>16</v>
      </c>
      <c r="F801" s="5" t="s">
        <v>17</v>
      </c>
      <c r="G801" s="5" t="s">
        <v>18</v>
      </c>
      <c r="H801" s="3" t="s">
        <v>44</v>
      </c>
      <c r="I801" s="3"/>
      <c r="J801" s="3"/>
      <c r="K801" s="5" t="s">
        <v>23</v>
      </c>
      <c r="L801" s="5">
        <v>3</v>
      </c>
      <c r="M801" s="2" t="s">
        <v>2619</v>
      </c>
    </row>
    <row r="802" spans="1:13" x14ac:dyDescent="0.25">
      <c r="A802" s="5" t="str">
        <f>"6281022183412"</f>
        <v>6281022183412</v>
      </c>
      <c r="B802" s="2" t="s">
        <v>2620</v>
      </c>
      <c r="C802" s="2" t="s">
        <v>2621</v>
      </c>
      <c r="D802" s="5" t="s">
        <v>15</v>
      </c>
      <c r="E802" s="5" t="s">
        <v>16</v>
      </c>
      <c r="F802" s="5" t="s">
        <v>17</v>
      </c>
      <c r="G802" s="5" t="s">
        <v>18</v>
      </c>
      <c r="H802" s="3"/>
      <c r="I802" s="3"/>
      <c r="J802" s="3" t="s">
        <v>2622</v>
      </c>
      <c r="K802" s="5" t="s">
        <v>23</v>
      </c>
      <c r="L802" s="5">
        <v>1.5</v>
      </c>
      <c r="M802" s="2" t="s">
        <v>2623</v>
      </c>
    </row>
    <row r="803" spans="1:13" x14ac:dyDescent="0.25">
      <c r="A803" s="5" t="str">
        <f>"6281026121014"</f>
        <v>6281026121014</v>
      </c>
      <c r="B803" s="2" t="s">
        <v>2624</v>
      </c>
      <c r="C803" s="2" t="s">
        <v>2625</v>
      </c>
      <c r="D803" s="5" t="s">
        <v>15</v>
      </c>
      <c r="E803" s="5" t="s">
        <v>16</v>
      </c>
      <c r="F803" s="5" t="s">
        <v>17</v>
      </c>
      <c r="G803" s="5" t="s">
        <v>18</v>
      </c>
      <c r="H803" s="3" t="s">
        <v>1041</v>
      </c>
      <c r="I803" s="3"/>
      <c r="J803" s="3"/>
      <c r="K803" s="5" t="s">
        <v>23</v>
      </c>
      <c r="L803" s="5">
        <v>36</v>
      </c>
      <c r="M803" s="2" t="s">
        <v>2626</v>
      </c>
    </row>
    <row r="804" spans="1:13" x14ac:dyDescent="0.25">
      <c r="A804" s="5" t="str">
        <f>"8901262010023"</f>
        <v>8901262010023</v>
      </c>
      <c r="B804" s="2" t="s">
        <v>2627</v>
      </c>
      <c r="C804" s="2" t="s">
        <v>2628</v>
      </c>
      <c r="D804" s="5" t="s">
        <v>15</v>
      </c>
      <c r="E804" s="5" t="s">
        <v>16</v>
      </c>
      <c r="F804" s="5" t="s">
        <v>17</v>
      </c>
      <c r="G804" s="5" t="s">
        <v>18</v>
      </c>
      <c r="H804" s="3" t="s">
        <v>2389</v>
      </c>
      <c r="I804" s="3"/>
      <c r="J804" s="3"/>
      <c r="K804" s="5" t="s">
        <v>23</v>
      </c>
      <c r="L804" s="5">
        <v>44.25</v>
      </c>
      <c r="M804" s="2" t="s">
        <v>2629</v>
      </c>
    </row>
    <row r="805" spans="1:13" x14ac:dyDescent="0.25">
      <c r="A805" s="5" t="str">
        <f>"6281057001064"</f>
        <v>6281057001064</v>
      </c>
      <c r="B805" s="2" t="s">
        <v>2630</v>
      </c>
      <c r="C805" s="2" t="s">
        <v>2631</v>
      </c>
      <c r="D805" s="5" t="s">
        <v>15</v>
      </c>
      <c r="E805" s="5" t="s">
        <v>16</v>
      </c>
      <c r="F805" s="5" t="s">
        <v>17</v>
      </c>
      <c r="G805" s="5" t="s">
        <v>18</v>
      </c>
      <c r="H805" s="3" t="s">
        <v>44</v>
      </c>
      <c r="I805" s="3"/>
      <c r="J805" s="3"/>
      <c r="K805" s="5" t="s">
        <v>23</v>
      </c>
      <c r="L805" s="5">
        <v>2</v>
      </c>
      <c r="M805" s="2" t="s">
        <v>2632</v>
      </c>
    </row>
    <row r="806" spans="1:13" x14ac:dyDescent="0.25">
      <c r="A806" s="5" t="str">
        <f>"6287004520411"</f>
        <v>6287004520411</v>
      </c>
      <c r="B806" s="2" t="s">
        <v>2633</v>
      </c>
      <c r="C806" s="2" t="s">
        <v>2634</v>
      </c>
      <c r="D806" s="5" t="s">
        <v>15</v>
      </c>
      <c r="E806" s="5" t="s">
        <v>16</v>
      </c>
      <c r="F806" s="5" t="s">
        <v>17</v>
      </c>
      <c r="G806" s="5" t="s">
        <v>18</v>
      </c>
      <c r="H806" s="3" t="s">
        <v>48</v>
      </c>
      <c r="I806" s="3"/>
      <c r="J806" s="3"/>
      <c r="K806" s="5" t="s">
        <v>23</v>
      </c>
      <c r="L806" s="5">
        <v>17.25</v>
      </c>
      <c r="M806" s="2" t="s">
        <v>2635</v>
      </c>
    </row>
    <row r="807" spans="1:13" x14ac:dyDescent="0.25">
      <c r="A807" s="5" t="str">
        <f>"2146257000009"</f>
        <v>2146257000009</v>
      </c>
      <c r="B807" s="2" t="s">
        <v>2636</v>
      </c>
      <c r="C807" s="2" t="s">
        <v>2637</v>
      </c>
      <c r="D807" s="5" t="s">
        <v>15</v>
      </c>
      <c r="E807" s="5" t="s">
        <v>16</v>
      </c>
      <c r="F807" s="5" t="s">
        <v>17</v>
      </c>
      <c r="G807" s="5" t="s">
        <v>18</v>
      </c>
      <c r="H807" s="3"/>
      <c r="I807" s="3"/>
      <c r="J807" s="3"/>
      <c r="K807" s="5" t="s">
        <v>19</v>
      </c>
      <c r="L807" s="5">
        <v>20.95</v>
      </c>
      <c r="M807" s="2" t="s">
        <v>2638</v>
      </c>
    </row>
    <row r="808" spans="1:13" x14ac:dyDescent="0.25">
      <c r="A808" s="5" t="str">
        <f>"7340001804225"</f>
        <v>7340001804225</v>
      </c>
      <c r="B808" s="2" t="s">
        <v>2639</v>
      </c>
      <c r="C808" s="2" t="s">
        <v>2640</v>
      </c>
      <c r="D808" s="5" t="s">
        <v>15</v>
      </c>
      <c r="E808" s="5" t="s">
        <v>16</v>
      </c>
      <c r="F808" s="5" t="s">
        <v>17</v>
      </c>
      <c r="G808" s="5" t="s">
        <v>18</v>
      </c>
      <c r="H808" s="3"/>
      <c r="I808" s="3" t="s">
        <v>2426</v>
      </c>
      <c r="J808" s="3" t="s">
        <v>1574</v>
      </c>
      <c r="K808" s="5" t="s">
        <v>23</v>
      </c>
      <c r="L808" s="5">
        <v>20.95</v>
      </c>
      <c r="M808" s="2" t="s">
        <v>2641</v>
      </c>
    </row>
    <row r="809" spans="1:13" x14ac:dyDescent="0.25">
      <c r="A809" s="5" t="str">
        <f>"6281022114096"</f>
        <v>6281022114096</v>
      </c>
      <c r="B809" s="2" t="s">
        <v>2642</v>
      </c>
      <c r="C809" s="2" t="s">
        <v>2643</v>
      </c>
      <c r="D809" s="5" t="s">
        <v>15</v>
      </c>
      <c r="E809" s="5" t="s">
        <v>16</v>
      </c>
      <c r="F809" s="5" t="s">
        <v>17</v>
      </c>
      <c r="G809" s="5" t="s">
        <v>18</v>
      </c>
      <c r="H809" s="3" t="s">
        <v>2605</v>
      </c>
      <c r="I809" s="3"/>
      <c r="J809" s="3" t="s">
        <v>2172</v>
      </c>
      <c r="K809" s="5" t="s">
        <v>23</v>
      </c>
      <c r="L809" s="5">
        <v>3.25</v>
      </c>
      <c r="M809" s="2" t="s">
        <v>2644</v>
      </c>
    </row>
    <row r="810" spans="1:13" x14ac:dyDescent="0.25">
      <c r="A810" s="5" t="str">
        <f>"6297001083727"</f>
        <v>6297001083727</v>
      </c>
      <c r="B810" s="2" t="s">
        <v>2645</v>
      </c>
      <c r="C810" s="2" t="s">
        <v>2646</v>
      </c>
      <c r="D810" s="5" t="s">
        <v>15</v>
      </c>
      <c r="E810" s="5" t="s">
        <v>16</v>
      </c>
      <c r="F810" s="5" t="s">
        <v>17</v>
      </c>
      <c r="G810" s="5" t="s">
        <v>18</v>
      </c>
      <c r="H810" s="3" t="s">
        <v>539</v>
      </c>
      <c r="I810" s="3"/>
      <c r="J810" s="3" t="s">
        <v>354</v>
      </c>
      <c r="K810" s="5" t="s">
        <v>23</v>
      </c>
      <c r="L810" s="5">
        <v>7.25</v>
      </c>
      <c r="M810" s="2" t="s">
        <v>2647</v>
      </c>
    </row>
    <row r="811" spans="1:13" x14ac:dyDescent="0.25">
      <c r="A811" s="5" t="str">
        <f>"6223000754603"</f>
        <v>6223000754603</v>
      </c>
      <c r="B811" s="2" t="s">
        <v>2648</v>
      </c>
      <c r="C811" s="2" t="s">
        <v>2649</v>
      </c>
      <c r="D811" s="5" t="s">
        <v>15</v>
      </c>
      <c r="E811" s="5" t="s">
        <v>16</v>
      </c>
      <c r="F811" s="5" t="s">
        <v>17</v>
      </c>
      <c r="G811" s="5" t="s">
        <v>18</v>
      </c>
      <c r="H811" s="3"/>
      <c r="I811" s="3"/>
      <c r="J811" s="3" t="s">
        <v>879</v>
      </c>
      <c r="K811" s="5" t="s">
        <v>23</v>
      </c>
      <c r="L811" s="5">
        <v>1.95</v>
      </c>
      <c r="M811" s="2" t="s">
        <v>2650</v>
      </c>
    </row>
    <row r="812" spans="1:13" x14ac:dyDescent="0.25">
      <c r="A812" s="5" t="str">
        <f>"8002710412007"</f>
        <v>8002710412007</v>
      </c>
      <c r="B812" s="2" t="s">
        <v>2651</v>
      </c>
      <c r="C812" s="2" t="s">
        <v>2652</v>
      </c>
      <c r="D812" s="5" t="s">
        <v>15</v>
      </c>
      <c r="E812" s="5" t="s">
        <v>16</v>
      </c>
      <c r="F812" s="5" t="s">
        <v>17</v>
      </c>
      <c r="G812" s="5" t="s">
        <v>18</v>
      </c>
      <c r="H812" s="3"/>
      <c r="I812" s="3" t="s">
        <v>2653</v>
      </c>
      <c r="J812" s="3" t="s">
        <v>28</v>
      </c>
      <c r="K812" s="5" t="s">
        <v>23</v>
      </c>
      <c r="L812" s="5">
        <v>31.25</v>
      </c>
      <c r="M812" s="2" t="s">
        <v>2654</v>
      </c>
    </row>
    <row r="813" spans="1:13" x14ac:dyDescent="0.25">
      <c r="A813" s="5" t="str">
        <f>"5711953175992"</f>
        <v>5711953175992</v>
      </c>
      <c r="B813" s="2" t="s">
        <v>2655</v>
      </c>
      <c r="C813" s="2" t="s">
        <v>2656</v>
      </c>
      <c r="D813" s="5" t="s">
        <v>15</v>
      </c>
      <c r="E813" s="5" t="s">
        <v>16</v>
      </c>
      <c r="F813" s="5" t="s">
        <v>17</v>
      </c>
      <c r="G813" s="5" t="s">
        <v>18</v>
      </c>
      <c r="H813" s="3" t="s">
        <v>1921</v>
      </c>
      <c r="I813" s="3"/>
      <c r="J813" s="3" t="s">
        <v>2612</v>
      </c>
      <c r="K813" s="5" t="s">
        <v>23</v>
      </c>
      <c r="L813" s="5">
        <v>6.75</v>
      </c>
      <c r="M813" s="2" t="s">
        <v>2657</v>
      </c>
    </row>
    <row r="814" spans="1:13" x14ac:dyDescent="0.25">
      <c r="A814" s="5" t="str">
        <f>"6281018130154"</f>
        <v>6281018130154</v>
      </c>
      <c r="B814" s="2" t="s">
        <v>2658</v>
      </c>
      <c r="C814" s="2" t="s">
        <v>2659</v>
      </c>
      <c r="D814" s="5" t="s">
        <v>15</v>
      </c>
      <c r="E814" s="5" t="s">
        <v>16</v>
      </c>
      <c r="F814" s="5" t="s">
        <v>17</v>
      </c>
      <c r="G814" s="5" t="s">
        <v>18</v>
      </c>
      <c r="H814" s="3" t="s">
        <v>67</v>
      </c>
      <c r="I814" s="3"/>
      <c r="J814" s="3"/>
      <c r="K814" s="5" t="s">
        <v>23</v>
      </c>
      <c r="L814" s="5">
        <v>2</v>
      </c>
      <c r="M814" s="2" t="s">
        <v>2660</v>
      </c>
    </row>
    <row r="815" spans="1:13" x14ac:dyDescent="0.25">
      <c r="A815" s="5" t="str">
        <f>"6281007032544"</f>
        <v>6281007032544</v>
      </c>
      <c r="B815" s="2" t="s">
        <v>2661</v>
      </c>
      <c r="C815" s="2" t="s">
        <v>2662</v>
      </c>
      <c r="D815" s="5" t="s">
        <v>15</v>
      </c>
      <c r="E815" s="5" t="s">
        <v>16</v>
      </c>
      <c r="F815" s="5" t="s">
        <v>17</v>
      </c>
      <c r="G815" s="5" t="s">
        <v>18</v>
      </c>
      <c r="H815" s="3" t="s">
        <v>32</v>
      </c>
      <c r="I815" s="3" t="s">
        <v>33</v>
      </c>
      <c r="J815" s="3" t="s">
        <v>1080</v>
      </c>
      <c r="K815" s="5" t="s">
        <v>23</v>
      </c>
      <c r="L815" s="5">
        <v>3.5</v>
      </c>
      <c r="M815" s="2" t="s">
        <v>2663</v>
      </c>
    </row>
    <row r="816" spans="1:13" x14ac:dyDescent="0.25">
      <c r="A816" s="5" t="str">
        <f>"6281007167826"</f>
        <v>6281007167826</v>
      </c>
      <c r="B816" s="2" t="s">
        <v>2664</v>
      </c>
      <c r="C816" s="2" t="s">
        <v>2665</v>
      </c>
      <c r="D816" s="5" t="s">
        <v>15</v>
      </c>
      <c r="E816" s="5" t="s">
        <v>16</v>
      </c>
      <c r="F816" s="5" t="s">
        <v>17</v>
      </c>
      <c r="G816" s="5" t="s">
        <v>18</v>
      </c>
      <c r="H816" s="3" t="s">
        <v>32</v>
      </c>
      <c r="I816" s="3" t="s">
        <v>33</v>
      </c>
      <c r="J816" s="3" t="s">
        <v>28</v>
      </c>
      <c r="K816" s="5" t="s">
        <v>23</v>
      </c>
      <c r="L816" s="5">
        <v>11.75</v>
      </c>
      <c r="M816" s="2" t="s">
        <v>2666</v>
      </c>
    </row>
    <row r="817" spans="1:13" x14ac:dyDescent="0.25">
      <c r="A817" s="5" t="str">
        <f>"5202390021404"</f>
        <v>5202390021404</v>
      </c>
      <c r="B817" s="2" t="s">
        <v>2667</v>
      </c>
      <c r="C817" s="2" t="s">
        <v>2668</v>
      </c>
      <c r="D817" s="5" t="s">
        <v>15</v>
      </c>
      <c r="E817" s="5" t="s">
        <v>16</v>
      </c>
      <c r="F817" s="5" t="s">
        <v>17</v>
      </c>
      <c r="G817" s="5" t="s">
        <v>18</v>
      </c>
      <c r="H817" s="3"/>
      <c r="I817" s="3"/>
      <c r="J817" s="3"/>
      <c r="K817" s="5" t="s">
        <v>23</v>
      </c>
      <c r="L817" s="5">
        <v>17.5</v>
      </c>
      <c r="M817" s="2" t="s">
        <v>2669</v>
      </c>
    </row>
    <row r="818" spans="1:13" x14ac:dyDescent="0.25">
      <c r="A818" s="5" t="str">
        <f>"6281007064729"</f>
        <v>6281007064729</v>
      </c>
      <c r="B818" s="2" t="s">
        <v>2670</v>
      </c>
      <c r="C818" s="2" t="s">
        <v>2671</v>
      </c>
      <c r="D818" s="5" t="s">
        <v>15</v>
      </c>
      <c r="E818" s="5" t="s">
        <v>16</v>
      </c>
      <c r="F818" s="5" t="s">
        <v>17</v>
      </c>
      <c r="G818" s="5" t="s">
        <v>18</v>
      </c>
      <c r="H818" s="3" t="s">
        <v>32</v>
      </c>
      <c r="I818" s="3" t="s">
        <v>33</v>
      </c>
      <c r="J818" s="3" t="s">
        <v>1128</v>
      </c>
      <c r="K818" s="5" t="s">
        <v>23</v>
      </c>
      <c r="L818" s="5">
        <v>2.5</v>
      </c>
      <c r="M818" s="2" t="s">
        <v>2672</v>
      </c>
    </row>
    <row r="819" spans="1:13" x14ac:dyDescent="0.25">
      <c r="A819" s="5" t="str">
        <f>"6285835000720"</f>
        <v>6285835000720</v>
      </c>
      <c r="B819" s="2" t="s">
        <v>2673</v>
      </c>
      <c r="C819" s="2" t="s">
        <v>2674</v>
      </c>
      <c r="D819" s="5" t="s">
        <v>15</v>
      </c>
      <c r="E819" s="5" t="s">
        <v>16</v>
      </c>
      <c r="F819" s="5" t="s">
        <v>17</v>
      </c>
      <c r="G819" s="5" t="s">
        <v>18</v>
      </c>
      <c r="H819" s="3" t="s">
        <v>1921</v>
      </c>
      <c r="I819" s="3"/>
      <c r="J819" s="3" t="s">
        <v>2556</v>
      </c>
      <c r="K819" s="5" t="s">
        <v>23</v>
      </c>
      <c r="L819" s="5">
        <v>16.75</v>
      </c>
      <c r="M819" s="2" t="s">
        <v>2675</v>
      </c>
    </row>
    <row r="820" spans="1:13" x14ac:dyDescent="0.25">
      <c r="A820" s="5" t="str">
        <f>"6281020301139"</f>
        <v>6281020301139</v>
      </c>
      <c r="B820" s="2" t="s">
        <v>2676</v>
      </c>
      <c r="C820" s="2" t="s">
        <v>2677</v>
      </c>
      <c r="D820" s="5" t="s">
        <v>15</v>
      </c>
      <c r="E820" s="5" t="s">
        <v>16</v>
      </c>
      <c r="F820" s="5" t="s">
        <v>17</v>
      </c>
      <c r="G820" s="5" t="s">
        <v>18</v>
      </c>
      <c r="H820" s="3" t="s">
        <v>1146</v>
      </c>
      <c r="I820" s="3"/>
      <c r="J820" s="3"/>
      <c r="K820" s="5" t="s">
        <v>23</v>
      </c>
      <c r="L820" s="5">
        <v>15.5</v>
      </c>
      <c r="M820" s="2" t="s">
        <v>2678</v>
      </c>
    </row>
    <row r="821" spans="1:13" x14ac:dyDescent="0.25">
      <c r="A821" s="5" t="str">
        <f>"5711953175954"</f>
        <v>5711953175954</v>
      </c>
      <c r="B821" s="2" t="s">
        <v>2679</v>
      </c>
      <c r="C821" s="2" t="s">
        <v>2680</v>
      </c>
      <c r="D821" s="5" t="s">
        <v>15</v>
      </c>
      <c r="E821" s="5" t="s">
        <v>16</v>
      </c>
      <c r="F821" s="5" t="s">
        <v>17</v>
      </c>
      <c r="G821" s="5" t="s">
        <v>18</v>
      </c>
      <c r="H821" s="3" t="s">
        <v>1921</v>
      </c>
      <c r="I821" s="3"/>
      <c r="J821" s="3" t="s">
        <v>2612</v>
      </c>
      <c r="K821" s="5" t="s">
        <v>23</v>
      </c>
      <c r="L821" s="5">
        <v>6.75</v>
      </c>
      <c r="M821" s="2" t="s">
        <v>2681</v>
      </c>
    </row>
    <row r="822" spans="1:13" x14ac:dyDescent="0.25">
      <c r="A822" s="5" t="str">
        <f>"8680171930867"</f>
        <v>8680171930867</v>
      </c>
      <c r="B822" s="2" t="s">
        <v>2682</v>
      </c>
      <c r="C822" s="2" t="s">
        <v>2683</v>
      </c>
      <c r="D822" s="5" t="s">
        <v>15</v>
      </c>
      <c r="E822" s="5" t="s">
        <v>16</v>
      </c>
      <c r="F822" s="5" t="s">
        <v>17</v>
      </c>
      <c r="G822" s="5" t="s">
        <v>18</v>
      </c>
      <c r="H822" s="3"/>
      <c r="I822" s="3"/>
      <c r="J822" s="3"/>
      <c r="K822" s="5" t="s">
        <v>23</v>
      </c>
      <c r="L822" s="5">
        <v>20.75</v>
      </c>
      <c r="M822" s="2" t="s">
        <v>2684</v>
      </c>
    </row>
    <row r="823" spans="1:13" x14ac:dyDescent="0.25">
      <c r="A823" s="5" t="str">
        <f>"8719200284661"</f>
        <v>8719200284661</v>
      </c>
      <c r="B823" s="2" t="s">
        <v>2685</v>
      </c>
      <c r="C823" s="2" t="s">
        <v>2686</v>
      </c>
      <c r="D823" s="5" t="s">
        <v>15</v>
      </c>
      <c r="E823" s="5" t="s">
        <v>16</v>
      </c>
      <c r="F823" s="5" t="s">
        <v>17</v>
      </c>
      <c r="G823" s="5" t="s">
        <v>18</v>
      </c>
      <c r="H823" s="3"/>
      <c r="I823" s="3"/>
      <c r="J823" s="3" t="s">
        <v>2687</v>
      </c>
      <c r="K823" s="5" t="s">
        <v>23</v>
      </c>
      <c r="L823" s="5">
        <v>26.75</v>
      </c>
      <c r="M823" s="2" t="s">
        <v>2688</v>
      </c>
    </row>
    <row r="824" spans="1:13" x14ac:dyDescent="0.25">
      <c r="A824" s="5" t="str">
        <f>"6281007025836"</f>
        <v>6281007025836</v>
      </c>
      <c r="B824" s="2" t="s">
        <v>2689</v>
      </c>
      <c r="C824" s="2" t="s">
        <v>2690</v>
      </c>
      <c r="D824" s="5" t="s">
        <v>15</v>
      </c>
      <c r="E824" s="5" t="s">
        <v>16</v>
      </c>
      <c r="F824" s="5" t="s">
        <v>17</v>
      </c>
      <c r="G824" s="5" t="s">
        <v>18</v>
      </c>
      <c r="H824" s="3" t="s">
        <v>32</v>
      </c>
      <c r="I824" s="3" t="s">
        <v>33</v>
      </c>
      <c r="J824" s="3"/>
      <c r="K824" s="5" t="s">
        <v>23</v>
      </c>
      <c r="L824" s="5">
        <v>30.5</v>
      </c>
      <c r="M824" s="2" t="s">
        <v>2691</v>
      </c>
    </row>
    <row r="825" spans="1:13" x14ac:dyDescent="0.25">
      <c r="A825" s="5" t="str">
        <f>"8001860251085"</f>
        <v>8001860251085</v>
      </c>
      <c r="B825" s="2" t="s">
        <v>2692</v>
      </c>
      <c r="C825" s="2" t="s">
        <v>2693</v>
      </c>
      <c r="D825" s="5" t="s">
        <v>15</v>
      </c>
      <c r="E825" s="5" t="s">
        <v>16</v>
      </c>
      <c r="F825" s="5" t="s">
        <v>17</v>
      </c>
      <c r="G825" s="5" t="s">
        <v>18</v>
      </c>
      <c r="H825" s="3" t="s">
        <v>2064</v>
      </c>
      <c r="I825" s="3"/>
      <c r="J825" s="3"/>
      <c r="K825" s="5" t="s">
        <v>23</v>
      </c>
      <c r="L825" s="5">
        <v>20.25</v>
      </c>
      <c r="M825" s="2" t="s">
        <v>2694</v>
      </c>
    </row>
    <row r="826" spans="1:13" x14ac:dyDescent="0.25">
      <c r="A826" s="5" t="str">
        <f>"8719200269415"</f>
        <v>8719200269415</v>
      </c>
      <c r="B826" s="2" t="s">
        <v>2695</v>
      </c>
      <c r="C826" s="2" t="s">
        <v>2696</v>
      </c>
      <c r="D826" s="5" t="s">
        <v>15</v>
      </c>
      <c r="E826" s="5" t="s">
        <v>16</v>
      </c>
      <c r="F826" s="5" t="s">
        <v>17</v>
      </c>
      <c r="G826" s="5" t="s">
        <v>18</v>
      </c>
      <c r="H826" s="3"/>
      <c r="I826" s="3"/>
      <c r="J826" s="3"/>
      <c r="K826" s="5" t="s">
        <v>23</v>
      </c>
      <c r="L826" s="5">
        <v>15.5</v>
      </c>
      <c r="M826" s="2" t="s">
        <v>2697</v>
      </c>
    </row>
    <row r="827" spans="1:13" x14ac:dyDescent="0.25">
      <c r="A827" s="5" t="str">
        <f>"6253012912883"</f>
        <v>6253012912883</v>
      </c>
      <c r="B827" s="2" t="s">
        <v>2698</v>
      </c>
      <c r="C827" s="2" t="s">
        <v>2699</v>
      </c>
      <c r="D827" s="5" t="s">
        <v>15</v>
      </c>
      <c r="E827" s="5" t="s">
        <v>16</v>
      </c>
      <c r="F827" s="5" t="s">
        <v>17</v>
      </c>
      <c r="G827" s="5" t="s">
        <v>18</v>
      </c>
      <c r="H827" s="3"/>
      <c r="I827" s="3"/>
      <c r="J827" s="3" t="s">
        <v>879</v>
      </c>
      <c r="K827" s="5" t="s">
        <v>23</v>
      </c>
      <c r="L827" s="5">
        <v>19.75</v>
      </c>
      <c r="M827" s="2" t="s">
        <v>2700</v>
      </c>
    </row>
    <row r="828" spans="1:13" x14ac:dyDescent="0.25">
      <c r="A828" s="5" t="str">
        <f>"6281057002474"</f>
        <v>6281057002474</v>
      </c>
      <c r="B828" s="2" t="s">
        <v>2701</v>
      </c>
      <c r="C828" s="2" t="s">
        <v>2702</v>
      </c>
      <c r="D828" s="5" t="s">
        <v>15</v>
      </c>
      <c r="E828" s="5" t="s">
        <v>16</v>
      </c>
      <c r="F828" s="5" t="s">
        <v>17</v>
      </c>
      <c r="G828" s="5" t="s">
        <v>18</v>
      </c>
      <c r="H828" s="3" t="s">
        <v>44</v>
      </c>
      <c r="I828" s="3"/>
      <c r="J828" s="3"/>
      <c r="K828" s="5" t="s">
        <v>23</v>
      </c>
      <c r="L828" s="5">
        <v>2</v>
      </c>
      <c r="M828" s="2" t="s">
        <v>2703</v>
      </c>
    </row>
    <row r="829" spans="1:13" x14ac:dyDescent="0.25">
      <c r="A829" s="5" t="str">
        <f>"6281039162035"</f>
        <v>6281039162035</v>
      </c>
      <c r="B829" s="2" t="s">
        <v>2704</v>
      </c>
      <c r="C829" s="2" t="s">
        <v>2705</v>
      </c>
      <c r="D829" s="5" t="s">
        <v>15</v>
      </c>
      <c r="E829" s="5" t="s">
        <v>16</v>
      </c>
      <c r="F829" s="5" t="s">
        <v>17</v>
      </c>
      <c r="G829" s="5" t="s">
        <v>18</v>
      </c>
      <c r="H829" s="3" t="s">
        <v>146</v>
      </c>
      <c r="I829" s="3"/>
      <c r="J829" s="3"/>
      <c r="K829" s="5" t="s">
        <v>23</v>
      </c>
      <c r="L829" s="5">
        <v>46.25</v>
      </c>
      <c r="M829" s="2" t="s">
        <v>2706</v>
      </c>
    </row>
    <row r="830" spans="1:13" x14ac:dyDescent="0.25">
      <c r="A830" s="5" t="str">
        <f>"6281018316190"</f>
        <v>6281018316190</v>
      </c>
      <c r="B830" s="2" t="s">
        <v>2707</v>
      </c>
      <c r="C830" s="2" t="s">
        <v>2708</v>
      </c>
      <c r="D830" s="5" t="s">
        <v>15</v>
      </c>
      <c r="E830" s="5" t="s">
        <v>16</v>
      </c>
      <c r="F830" s="5" t="s">
        <v>17</v>
      </c>
      <c r="G830" s="5" t="s">
        <v>18</v>
      </c>
      <c r="H830" s="3" t="s">
        <v>67</v>
      </c>
      <c r="I830" s="3" t="s">
        <v>723</v>
      </c>
      <c r="J830" s="3" t="s">
        <v>2709</v>
      </c>
      <c r="K830" s="5" t="s">
        <v>23</v>
      </c>
      <c r="L830" s="5">
        <v>1.25</v>
      </c>
      <c r="M830" s="2" t="s">
        <v>2710</v>
      </c>
    </row>
    <row r="831" spans="1:13" x14ac:dyDescent="0.25">
      <c r="A831" s="5" t="str">
        <f>"6281100500636"</f>
        <v>6281100500636</v>
      </c>
      <c r="B831" s="2" t="s">
        <v>2711</v>
      </c>
      <c r="C831" s="2" t="s">
        <v>2712</v>
      </c>
      <c r="D831" s="5" t="s">
        <v>15</v>
      </c>
      <c r="E831" s="5" t="s">
        <v>16</v>
      </c>
      <c r="F831" s="5" t="s">
        <v>17</v>
      </c>
      <c r="G831" s="5" t="s">
        <v>18</v>
      </c>
      <c r="H831" s="3" t="s">
        <v>466</v>
      </c>
      <c r="I831" s="3"/>
      <c r="J831" s="3"/>
      <c r="K831" s="5" t="s">
        <v>23</v>
      </c>
      <c r="L831" s="5">
        <v>48.75</v>
      </c>
      <c r="M831" s="2" t="s">
        <v>2713</v>
      </c>
    </row>
    <row r="832" spans="1:13" x14ac:dyDescent="0.25">
      <c r="A832" s="5" t="str">
        <f>"6281057050024"</f>
        <v>6281057050024</v>
      </c>
      <c r="B832" s="2" t="s">
        <v>2714</v>
      </c>
      <c r="C832" s="2" t="s">
        <v>2715</v>
      </c>
      <c r="D832" s="5" t="s">
        <v>15</v>
      </c>
      <c r="E832" s="5" t="s">
        <v>16</v>
      </c>
      <c r="F832" s="5" t="s">
        <v>17</v>
      </c>
      <c r="G832" s="5" t="s">
        <v>18</v>
      </c>
      <c r="H832" s="3" t="s">
        <v>44</v>
      </c>
      <c r="I832" s="3"/>
      <c r="J832" s="3" t="s">
        <v>1409</v>
      </c>
      <c r="K832" s="5" t="s">
        <v>23</v>
      </c>
      <c r="L832" s="5">
        <v>9.25</v>
      </c>
      <c r="M832" s="2" t="s">
        <v>2716</v>
      </c>
    </row>
    <row r="833" spans="1:13" x14ac:dyDescent="0.25">
      <c r="A833" s="5" t="str">
        <f>"6281057005437"</f>
        <v>6281057005437</v>
      </c>
      <c r="B833" s="2" t="s">
        <v>2717</v>
      </c>
      <c r="C833" s="2" t="s">
        <v>2718</v>
      </c>
      <c r="D833" s="5" t="s">
        <v>15</v>
      </c>
      <c r="E833" s="5" t="s">
        <v>16</v>
      </c>
      <c r="F833" s="5" t="s">
        <v>17</v>
      </c>
      <c r="G833" s="5" t="s">
        <v>18</v>
      </c>
      <c r="H833" s="3" t="s">
        <v>44</v>
      </c>
      <c r="I833" s="3"/>
      <c r="J833" s="3" t="s">
        <v>2719</v>
      </c>
      <c r="K833" s="5" t="s">
        <v>23</v>
      </c>
      <c r="L833" s="5">
        <v>3</v>
      </c>
      <c r="M833" s="2" t="s">
        <v>2720</v>
      </c>
    </row>
    <row r="834" spans="1:13" x14ac:dyDescent="0.25">
      <c r="A834" s="5" t="str">
        <f>"6295199281734"</f>
        <v>6295199281734</v>
      </c>
      <c r="B834" s="2" t="s">
        <v>2721</v>
      </c>
      <c r="C834" s="2" t="s">
        <v>2722</v>
      </c>
      <c r="D834" s="5" t="s">
        <v>15</v>
      </c>
      <c r="E834" s="5" t="s">
        <v>16</v>
      </c>
      <c r="F834" s="5" t="s">
        <v>17</v>
      </c>
      <c r="G834" s="5" t="s">
        <v>18</v>
      </c>
      <c r="H834" s="3"/>
      <c r="I834" s="3"/>
      <c r="J834" s="3" t="s">
        <v>28</v>
      </c>
      <c r="K834" s="5" t="s">
        <v>23</v>
      </c>
      <c r="L834" s="5">
        <v>29.95</v>
      </c>
      <c r="M834" s="2" t="s">
        <v>2723</v>
      </c>
    </row>
    <row r="835" spans="1:13" x14ac:dyDescent="0.25">
      <c r="A835" s="5" t="str">
        <f>"6281026121366"</f>
        <v>6281026121366</v>
      </c>
      <c r="B835" s="2" t="s">
        <v>2724</v>
      </c>
      <c r="C835" s="2" t="s">
        <v>2725</v>
      </c>
      <c r="D835" s="5" t="s">
        <v>15</v>
      </c>
      <c r="E835" s="5" t="s">
        <v>16</v>
      </c>
      <c r="F835" s="5" t="s">
        <v>17</v>
      </c>
      <c r="G835" s="5" t="s">
        <v>18</v>
      </c>
      <c r="H835" s="3" t="s">
        <v>1041</v>
      </c>
      <c r="I835" s="3"/>
      <c r="J835" s="3"/>
      <c r="K835" s="5" t="s">
        <v>23</v>
      </c>
      <c r="L835" s="5">
        <v>1.25</v>
      </c>
      <c r="M835" s="2" t="s">
        <v>2726</v>
      </c>
    </row>
    <row r="836" spans="1:13" x14ac:dyDescent="0.25">
      <c r="A836" s="5" t="str">
        <f>"6285835000706"</f>
        <v>6285835000706</v>
      </c>
      <c r="B836" s="2" t="s">
        <v>2727</v>
      </c>
      <c r="C836" s="2" t="s">
        <v>2728</v>
      </c>
      <c r="D836" s="5" t="s">
        <v>15</v>
      </c>
      <c r="E836" s="5" t="s">
        <v>16</v>
      </c>
      <c r="F836" s="5" t="s">
        <v>17</v>
      </c>
      <c r="G836" s="5" t="s">
        <v>18</v>
      </c>
      <c r="H836" s="3" t="s">
        <v>1921</v>
      </c>
      <c r="I836" s="3"/>
      <c r="J836" s="3" t="s">
        <v>2729</v>
      </c>
      <c r="K836" s="5" t="s">
        <v>23</v>
      </c>
      <c r="L836" s="5">
        <v>3.45</v>
      </c>
      <c r="M836" s="2" t="s">
        <v>2730</v>
      </c>
    </row>
    <row r="837" spans="1:13" x14ac:dyDescent="0.25">
      <c r="A837" s="5" t="str">
        <f>"6281100500193"</f>
        <v>6281100500193</v>
      </c>
      <c r="B837" s="2" t="s">
        <v>2731</v>
      </c>
      <c r="C837" s="2" t="s">
        <v>2732</v>
      </c>
      <c r="D837" s="5" t="s">
        <v>15</v>
      </c>
      <c r="E837" s="5" t="s">
        <v>16</v>
      </c>
      <c r="F837" s="5" t="s">
        <v>17</v>
      </c>
      <c r="G837" s="5" t="s">
        <v>18</v>
      </c>
      <c r="H837" s="3" t="s">
        <v>466</v>
      </c>
      <c r="I837" s="3"/>
      <c r="J837" s="3"/>
      <c r="K837" s="5" t="s">
        <v>23</v>
      </c>
      <c r="L837" s="5">
        <v>44.5</v>
      </c>
      <c r="M837" s="2" t="s">
        <v>2733</v>
      </c>
    </row>
    <row r="838" spans="1:13" x14ac:dyDescent="0.25">
      <c r="A838" s="5" t="str">
        <f>"6281100174158"</f>
        <v>6281100174158</v>
      </c>
      <c r="B838" s="2" t="s">
        <v>2734</v>
      </c>
      <c r="C838" s="2" t="s">
        <v>2735</v>
      </c>
      <c r="D838" s="5" t="s">
        <v>15</v>
      </c>
      <c r="E838" s="5" t="s">
        <v>16</v>
      </c>
      <c r="F838" s="5" t="s">
        <v>17</v>
      </c>
      <c r="G838" s="5" t="s">
        <v>18</v>
      </c>
      <c r="H838" s="3" t="s">
        <v>2736</v>
      </c>
      <c r="I838" s="3"/>
      <c r="J838" s="3"/>
      <c r="K838" s="5" t="s">
        <v>23</v>
      </c>
      <c r="L838" s="5">
        <v>10.25</v>
      </c>
      <c r="M838" s="2" t="s">
        <v>2737</v>
      </c>
    </row>
    <row r="839" spans="1:13" x14ac:dyDescent="0.25">
      <c r="A839" s="5" t="str">
        <f>"6281057015962"</f>
        <v>6281057015962</v>
      </c>
      <c r="B839" s="2" t="s">
        <v>2738</v>
      </c>
      <c r="C839" s="2" t="s">
        <v>2739</v>
      </c>
      <c r="D839" s="5" t="s">
        <v>15</v>
      </c>
      <c r="E839" s="5" t="s">
        <v>16</v>
      </c>
      <c r="F839" s="5" t="s">
        <v>17</v>
      </c>
      <c r="G839" s="5" t="s">
        <v>18</v>
      </c>
      <c r="H839" s="3" t="s">
        <v>44</v>
      </c>
      <c r="I839" s="3"/>
      <c r="J839" s="3" t="s">
        <v>354</v>
      </c>
      <c r="K839" s="5" t="s">
        <v>23</v>
      </c>
      <c r="L839" s="5">
        <v>7.95</v>
      </c>
      <c r="M839" s="2" t="s">
        <v>2740</v>
      </c>
    </row>
    <row r="840" spans="1:13" x14ac:dyDescent="0.25">
      <c r="A840" s="5" t="str">
        <f>"6281022183382"</f>
        <v>6281022183382</v>
      </c>
      <c r="B840" s="2" t="s">
        <v>2741</v>
      </c>
      <c r="C840" s="2" t="s">
        <v>2742</v>
      </c>
      <c r="D840" s="5" t="s">
        <v>15</v>
      </c>
      <c r="E840" s="5" t="s">
        <v>16</v>
      </c>
      <c r="F840" s="5" t="s">
        <v>17</v>
      </c>
      <c r="G840" s="5" t="s">
        <v>18</v>
      </c>
      <c r="H840" s="3"/>
      <c r="I840" s="3"/>
      <c r="J840" s="3" t="s">
        <v>2622</v>
      </c>
      <c r="K840" s="5" t="s">
        <v>23</v>
      </c>
      <c r="L840" s="5">
        <v>1.5</v>
      </c>
      <c r="M840" s="2" t="s">
        <v>2743</v>
      </c>
    </row>
    <row r="841" spans="1:13" x14ac:dyDescent="0.25">
      <c r="A841" s="5" t="str">
        <f>"6281022153408"</f>
        <v>6281022153408</v>
      </c>
      <c r="B841" s="2" t="s">
        <v>2744</v>
      </c>
      <c r="C841" s="2" t="s">
        <v>2745</v>
      </c>
      <c r="D841" s="5" t="s">
        <v>15</v>
      </c>
      <c r="E841" s="5" t="s">
        <v>16</v>
      </c>
      <c r="F841" s="5" t="s">
        <v>17</v>
      </c>
      <c r="G841" s="5" t="s">
        <v>18</v>
      </c>
      <c r="H841" s="3"/>
      <c r="I841" s="3"/>
      <c r="J841" s="3"/>
      <c r="K841" s="5" t="s">
        <v>23</v>
      </c>
      <c r="L841" s="5">
        <v>28</v>
      </c>
      <c r="M841" s="2" t="s">
        <v>2746</v>
      </c>
    </row>
    <row r="842" spans="1:13" x14ac:dyDescent="0.25">
      <c r="A842" s="5" t="str">
        <f>"6281039173512"</f>
        <v>6281039173512</v>
      </c>
      <c r="B842" s="2" t="s">
        <v>2747</v>
      </c>
      <c r="C842" s="2" t="s">
        <v>2748</v>
      </c>
      <c r="D842" s="5" t="s">
        <v>15</v>
      </c>
      <c r="E842" s="5" t="s">
        <v>16</v>
      </c>
      <c r="F842" s="5" t="s">
        <v>17</v>
      </c>
      <c r="G842" s="5" t="s">
        <v>18</v>
      </c>
      <c r="H842" s="3" t="s">
        <v>146</v>
      </c>
      <c r="I842" s="3"/>
      <c r="J842" s="3"/>
      <c r="K842" s="5" t="s">
        <v>23</v>
      </c>
      <c r="L842" s="5">
        <v>2.5</v>
      </c>
      <c r="M842" s="2" t="s">
        <v>2749</v>
      </c>
    </row>
    <row r="843" spans="1:13" x14ac:dyDescent="0.25">
      <c r="A843" s="5" t="str">
        <f>"6281007038980"</f>
        <v>6281007038980</v>
      </c>
      <c r="B843" s="2" t="s">
        <v>2750</v>
      </c>
      <c r="C843" s="2" t="s">
        <v>2751</v>
      </c>
      <c r="D843" s="5" t="s">
        <v>15</v>
      </c>
      <c r="E843" s="5" t="s">
        <v>16</v>
      </c>
      <c r="F843" s="5" t="s">
        <v>17</v>
      </c>
      <c r="G843" s="5" t="s">
        <v>18</v>
      </c>
      <c r="H843" s="3" t="s">
        <v>32</v>
      </c>
      <c r="I843" s="3" t="s">
        <v>33</v>
      </c>
      <c r="J843" s="3"/>
      <c r="K843" s="5" t="s">
        <v>23</v>
      </c>
      <c r="L843" s="5">
        <v>1.5</v>
      </c>
      <c r="M843" s="2" t="s">
        <v>2752</v>
      </c>
    </row>
    <row r="844" spans="1:13" x14ac:dyDescent="0.25">
      <c r="A844" s="5" t="str">
        <f>"87295610"</f>
        <v>87295610</v>
      </c>
      <c r="B844" s="2" t="s">
        <v>2753</v>
      </c>
      <c r="C844" s="2" t="s">
        <v>2754</v>
      </c>
      <c r="D844" s="5" t="s">
        <v>15</v>
      </c>
      <c r="E844" s="5" t="s">
        <v>16</v>
      </c>
      <c r="F844" s="5" t="s">
        <v>17</v>
      </c>
      <c r="G844" s="5" t="s">
        <v>18</v>
      </c>
      <c r="H844" s="3" t="s">
        <v>2755</v>
      </c>
      <c r="I844" s="3" t="s">
        <v>345</v>
      </c>
      <c r="J844" s="3" t="s">
        <v>2244</v>
      </c>
      <c r="K844" s="5" t="s">
        <v>23</v>
      </c>
      <c r="L844" s="5">
        <v>4</v>
      </c>
      <c r="M844" s="2" t="s">
        <v>2756</v>
      </c>
    </row>
    <row r="845" spans="1:13" x14ac:dyDescent="0.25">
      <c r="A845" s="5" t="str">
        <f>"5011056022552"</f>
        <v>5011056022552</v>
      </c>
      <c r="B845" s="2" t="s">
        <v>2757</v>
      </c>
      <c r="C845" s="2" t="s">
        <v>2758</v>
      </c>
      <c r="D845" s="5" t="s">
        <v>15</v>
      </c>
      <c r="E845" s="5" t="s">
        <v>16</v>
      </c>
      <c r="F845" s="5" t="s">
        <v>17</v>
      </c>
      <c r="G845" s="5" t="s">
        <v>18</v>
      </c>
      <c r="H845" s="3" t="s">
        <v>2156</v>
      </c>
      <c r="I845" s="3" t="s">
        <v>2759</v>
      </c>
      <c r="J845" s="3" t="s">
        <v>238</v>
      </c>
      <c r="K845" s="5" t="s">
        <v>23</v>
      </c>
      <c r="L845" s="5">
        <v>34.5</v>
      </c>
      <c r="M845" s="2" t="s">
        <v>2760</v>
      </c>
    </row>
    <row r="846" spans="1:13" x14ac:dyDescent="0.25">
      <c r="A846" s="5" t="str">
        <f>"6281020173026"</f>
        <v>6281020173026</v>
      </c>
      <c r="B846" s="2" t="s">
        <v>2761</v>
      </c>
      <c r="C846" s="2" t="s">
        <v>2762</v>
      </c>
      <c r="D846" s="5" t="s">
        <v>15</v>
      </c>
      <c r="E846" s="5" t="s">
        <v>16</v>
      </c>
      <c r="F846" s="5" t="s">
        <v>17</v>
      </c>
      <c r="G846" s="5" t="s">
        <v>18</v>
      </c>
      <c r="H846" s="3" t="s">
        <v>1146</v>
      </c>
      <c r="I846" s="3"/>
      <c r="J846" s="3"/>
      <c r="K846" s="5" t="s">
        <v>23</v>
      </c>
      <c r="L846" s="5">
        <v>5.5</v>
      </c>
      <c r="M846" s="2" t="s">
        <v>2763</v>
      </c>
    </row>
    <row r="847" spans="1:13" x14ac:dyDescent="0.25">
      <c r="A847" s="5" t="str">
        <f>"6281007036092"</f>
        <v>6281007036092</v>
      </c>
      <c r="B847" s="2" t="s">
        <v>2764</v>
      </c>
      <c r="C847" s="2" t="s">
        <v>2765</v>
      </c>
      <c r="D847" s="5" t="s">
        <v>15</v>
      </c>
      <c r="E847" s="5" t="s">
        <v>16</v>
      </c>
      <c r="F847" s="5" t="s">
        <v>17</v>
      </c>
      <c r="G847" s="5" t="s">
        <v>18</v>
      </c>
      <c r="H847" s="3" t="s">
        <v>32</v>
      </c>
      <c r="I847" s="3" t="s">
        <v>33</v>
      </c>
      <c r="J847" s="3"/>
      <c r="K847" s="5" t="s">
        <v>23</v>
      </c>
      <c r="L847" s="5">
        <v>3.5</v>
      </c>
      <c r="M847" s="2" t="s">
        <v>2766</v>
      </c>
    </row>
    <row r="848" spans="1:13" x14ac:dyDescent="0.25">
      <c r="A848" s="5" t="str">
        <f>"2144803000008"</f>
        <v>2144803000008</v>
      </c>
      <c r="B848" s="2" t="s">
        <v>2767</v>
      </c>
      <c r="C848" s="2" t="s">
        <v>2768</v>
      </c>
      <c r="D848" s="5" t="s">
        <v>15</v>
      </c>
      <c r="E848" s="5" t="s">
        <v>16</v>
      </c>
      <c r="F848" s="5" t="s">
        <v>17</v>
      </c>
      <c r="G848" s="5" t="s">
        <v>18</v>
      </c>
      <c r="H848" s="3"/>
      <c r="I848" s="3"/>
      <c r="J848" s="3"/>
      <c r="K848" s="5" t="s">
        <v>19</v>
      </c>
      <c r="L848" s="5">
        <v>49.95</v>
      </c>
      <c r="M848" s="2" t="s">
        <v>2769</v>
      </c>
    </row>
    <row r="849" spans="1:13" x14ac:dyDescent="0.25">
      <c r="A849" s="5" t="str">
        <f>"6295199281680"</f>
        <v>6295199281680</v>
      </c>
      <c r="B849" s="2" t="s">
        <v>2770</v>
      </c>
      <c r="C849" s="2" t="s">
        <v>2771</v>
      </c>
      <c r="D849" s="5" t="s">
        <v>15</v>
      </c>
      <c r="E849" s="5" t="s">
        <v>16</v>
      </c>
      <c r="F849" s="5" t="s">
        <v>17</v>
      </c>
      <c r="G849" s="5" t="s">
        <v>18</v>
      </c>
      <c r="H849" s="3"/>
      <c r="I849" s="3"/>
      <c r="J849" s="3" t="s">
        <v>510</v>
      </c>
      <c r="K849" s="5" t="s">
        <v>23</v>
      </c>
      <c r="L849" s="5">
        <v>41.95</v>
      </c>
      <c r="M849" s="2" t="s">
        <v>2772</v>
      </c>
    </row>
    <row r="850" spans="1:13" x14ac:dyDescent="0.25">
      <c r="A850" s="5" t="str">
        <f>"6281057500062"</f>
        <v>6281057500062</v>
      </c>
      <c r="B850" s="2" t="s">
        <v>2773</v>
      </c>
      <c r="C850" s="2" t="s">
        <v>2774</v>
      </c>
      <c r="D850" s="5" t="s">
        <v>15</v>
      </c>
      <c r="E850" s="5" t="s">
        <v>16</v>
      </c>
      <c r="F850" s="5" t="s">
        <v>17</v>
      </c>
      <c r="G850" s="5" t="s">
        <v>18</v>
      </c>
      <c r="H850" s="3" t="s">
        <v>44</v>
      </c>
      <c r="I850" s="3" t="s">
        <v>33</v>
      </c>
      <c r="J850" s="3" t="s">
        <v>2775</v>
      </c>
      <c r="K850" s="5" t="s">
        <v>23</v>
      </c>
      <c r="L850" s="5">
        <v>25.5</v>
      </c>
      <c r="M850" s="2" t="s">
        <v>2776</v>
      </c>
    </row>
    <row r="851" spans="1:13" x14ac:dyDescent="0.25">
      <c r="A851" s="5" t="str">
        <f>"6285835000751"</f>
        <v>6285835000751</v>
      </c>
      <c r="B851" s="2" t="s">
        <v>2777</v>
      </c>
      <c r="C851" s="2" t="s">
        <v>2778</v>
      </c>
      <c r="D851" s="5" t="s">
        <v>15</v>
      </c>
      <c r="E851" s="5" t="s">
        <v>16</v>
      </c>
      <c r="F851" s="5" t="s">
        <v>17</v>
      </c>
      <c r="G851" s="5" t="s">
        <v>18</v>
      </c>
      <c r="H851" s="3" t="s">
        <v>1921</v>
      </c>
      <c r="I851" s="3"/>
      <c r="J851" s="3" t="s">
        <v>2556</v>
      </c>
      <c r="K851" s="5" t="s">
        <v>23</v>
      </c>
      <c r="L851" s="5">
        <v>16.75</v>
      </c>
      <c r="M851" s="2" t="s">
        <v>2779</v>
      </c>
    </row>
    <row r="852" spans="1:13" x14ac:dyDescent="0.25">
      <c r="A852" s="5" t="str">
        <f>"6281100503095"</f>
        <v>6281100503095</v>
      </c>
      <c r="B852" s="2" t="s">
        <v>2780</v>
      </c>
      <c r="C852" s="2" t="s">
        <v>2781</v>
      </c>
      <c r="D852" s="5" t="s">
        <v>15</v>
      </c>
      <c r="E852" s="5" t="s">
        <v>16</v>
      </c>
      <c r="F852" s="5" t="s">
        <v>17</v>
      </c>
      <c r="G852" s="5" t="s">
        <v>18</v>
      </c>
      <c r="H852" s="3" t="s">
        <v>466</v>
      </c>
      <c r="I852" s="3"/>
      <c r="J852" s="3"/>
      <c r="K852" s="5" t="s">
        <v>23</v>
      </c>
      <c r="L852" s="5">
        <v>21.75</v>
      </c>
      <c r="M852" s="2" t="s">
        <v>2782</v>
      </c>
    </row>
    <row r="853" spans="1:13" x14ac:dyDescent="0.25">
      <c r="A853" s="5" t="str">
        <f>"6281022115741"</f>
        <v>6281022115741</v>
      </c>
      <c r="B853" s="2" t="s">
        <v>2783</v>
      </c>
      <c r="C853" s="2" t="s">
        <v>2784</v>
      </c>
      <c r="D853" s="5" t="s">
        <v>15</v>
      </c>
      <c r="E853" s="5" t="s">
        <v>16</v>
      </c>
      <c r="F853" s="5" t="s">
        <v>17</v>
      </c>
      <c r="G853" s="5" t="s">
        <v>18</v>
      </c>
      <c r="H853" s="3" t="s">
        <v>184</v>
      </c>
      <c r="I853" s="3"/>
      <c r="J853" s="3" t="s">
        <v>2719</v>
      </c>
      <c r="K853" s="5" t="s">
        <v>23</v>
      </c>
      <c r="L853" s="5">
        <v>3</v>
      </c>
      <c r="M853" s="2" t="s">
        <v>2785</v>
      </c>
    </row>
    <row r="854" spans="1:13" x14ac:dyDescent="0.25">
      <c r="A854" s="5" t="str">
        <f>"6281039163018"</f>
        <v>6281039163018</v>
      </c>
      <c r="B854" s="2" t="s">
        <v>2786</v>
      </c>
      <c r="C854" s="2" t="s">
        <v>2787</v>
      </c>
      <c r="D854" s="5" t="s">
        <v>15</v>
      </c>
      <c r="E854" s="5" t="s">
        <v>16</v>
      </c>
      <c r="F854" s="5" t="s">
        <v>17</v>
      </c>
      <c r="G854" s="5" t="s">
        <v>18</v>
      </c>
      <c r="H854" s="3" t="s">
        <v>146</v>
      </c>
      <c r="I854" s="3"/>
      <c r="J854" s="3"/>
      <c r="K854" s="5" t="s">
        <v>23</v>
      </c>
      <c r="L854" s="5">
        <v>2</v>
      </c>
      <c r="M854" s="2" t="s">
        <v>2788</v>
      </c>
    </row>
    <row r="855" spans="1:13" x14ac:dyDescent="0.25">
      <c r="A855" s="5" t="str">
        <f>"5202390017049"</f>
        <v>5202390017049</v>
      </c>
      <c r="B855" s="2" t="s">
        <v>2789</v>
      </c>
      <c r="C855" s="2" t="s">
        <v>2790</v>
      </c>
      <c r="D855" s="5" t="s">
        <v>15</v>
      </c>
      <c r="E855" s="5" t="s">
        <v>16</v>
      </c>
      <c r="F855" s="5" t="s">
        <v>17</v>
      </c>
      <c r="G855" s="5" t="s">
        <v>18</v>
      </c>
      <c r="H855" s="3"/>
      <c r="I855" s="3" t="s">
        <v>2219</v>
      </c>
      <c r="J855" s="3" t="s">
        <v>2791</v>
      </c>
      <c r="K855" s="5" t="s">
        <v>23</v>
      </c>
      <c r="L855" s="5">
        <v>19.5</v>
      </c>
      <c r="M855" s="2" t="s">
        <v>2792</v>
      </c>
    </row>
    <row r="856" spans="1:13" x14ac:dyDescent="0.25">
      <c r="A856" s="5" t="str">
        <f>"2144801000000"</f>
        <v>2144801000000</v>
      </c>
      <c r="B856" s="2" t="s">
        <v>2793</v>
      </c>
      <c r="C856" s="2" t="s">
        <v>2794</v>
      </c>
      <c r="D856" s="5" t="s">
        <v>15</v>
      </c>
      <c r="E856" s="5" t="s">
        <v>16</v>
      </c>
      <c r="F856" s="5" t="s">
        <v>17</v>
      </c>
      <c r="G856" s="5" t="s">
        <v>18</v>
      </c>
      <c r="H856" s="3"/>
      <c r="I856" s="3"/>
      <c r="J856" s="3"/>
      <c r="K856" s="5" t="s">
        <v>23</v>
      </c>
      <c r="L856" s="5">
        <v>22.95</v>
      </c>
      <c r="M856" s="2" t="s">
        <v>2795</v>
      </c>
    </row>
    <row r="857" spans="1:13" x14ac:dyDescent="0.25">
      <c r="A857" s="5" t="str">
        <f>"2144842000007"</f>
        <v>2144842000007</v>
      </c>
      <c r="B857" s="2" t="s">
        <v>2796</v>
      </c>
      <c r="C857" s="2" t="s">
        <v>2797</v>
      </c>
      <c r="D857" s="5" t="s">
        <v>15</v>
      </c>
      <c r="E857" s="5" t="s">
        <v>16</v>
      </c>
      <c r="F857" s="5" t="s">
        <v>17</v>
      </c>
      <c r="G857" s="5" t="s">
        <v>18</v>
      </c>
      <c r="H857" s="3"/>
      <c r="I857" s="3"/>
      <c r="J857" s="3"/>
      <c r="K857" s="5" t="s">
        <v>23</v>
      </c>
      <c r="L857" s="5">
        <v>59.95</v>
      </c>
      <c r="M857" s="2" t="s">
        <v>2798</v>
      </c>
    </row>
    <row r="858" spans="1:13" x14ac:dyDescent="0.25">
      <c r="A858" s="5" t="str">
        <f>"5016860771009"</f>
        <v>5016860771009</v>
      </c>
      <c r="B858" s="2" t="s">
        <v>2799</v>
      </c>
      <c r="C858" s="2" t="s">
        <v>2800</v>
      </c>
      <c r="D858" s="5" t="s">
        <v>15</v>
      </c>
      <c r="E858" s="5" t="s">
        <v>16</v>
      </c>
      <c r="F858" s="5" t="s">
        <v>17</v>
      </c>
      <c r="G858" s="5" t="s">
        <v>18</v>
      </c>
      <c r="H858" s="3"/>
      <c r="I858" s="3"/>
      <c r="J858" s="3"/>
      <c r="K858" s="5" t="s">
        <v>23</v>
      </c>
      <c r="L858" s="5">
        <v>55.95</v>
      </c>
      <c r="M858" s="2" t="s">
        <v>2801</v>
      </c>
    </row>
    <row r="859" spans="1:13" x14ac:dyDescent="0.25">
      <c r="A859" s="5" t="str">
        <f>"3073781194739"</f>
        <v>3073781194739</v>
      </c>
      <c r="B859" s="2" t="s">
        <v>2802</v>
      </c>
      <c r="C859" s="2" t="s">
        <v>2803</v>
      </c>
      <c r="D859" s="5" t="s">
        <v>15</v>
      </c>
      <c r="E859" s="5" t="s">
        <v>16</v>
      </c>
      <c r="F859" s="5" t="s">
        <v>17</v>
      </c>
      <c r="G859" s="5" t="s">
        <v>18</v>
      </c>
      <c r="H859" s="3" t="s">
        <v>87</v>
      </c>
      <c r="I859" s="3"/>
      <c r="J859" s="3" t="s">
        <v>392</v>
      </c>
      <c r="K859" s="5" t="s">
        <v>23</v>
      </c>
      <c r="L859" s="5">
        <v>40</v>
      </c>
      <c r="M859" s="2" t="s">
        <v>2804</v>
      </c>
    </row>
    <row r="860" spans="1:13" x14ac:dyDescent="0.25">
      <c r="A860" s="5" t="str">
        <f>"6281100502395"</f>
        <v>6281100502395</v>
      </c>
      <c r="B860" s="2" t="s">
        <v>2805</v>
      </c>
      <c r="C860" s="2" t="s">
        <v>2806</v>
      </c>
      <c r="D860" s="5" t="s">
        <v>15</v>
      </c>
      <c r="E860" s="5" t="s">
        <v>16</v>
      </c>
      <c r="F860" s="5" t="s">
        <v>17</v>
      </c>
      <c r="G860" s="5" t="s">
        <v>18</v>
      </c>
      <c r="H860" s="3" t="s">
        <v>466</v>
      </c>
      <c r="I860" s="3"/>
      <c r="J860" s="3"/>
      <c r="K860" s="5" t="s">
        <v>23</v>
      </c>
      <c r="L860" s="5">
        <v>26.5</v>
      </c>
      <c r="M860" s="2" t="s">
        <v>2807</v>
      </c>
    </row>
    <row r="861" spans="1:13" x14ac:dyDescent="0.25">
      <c r="A861" s="5" t="str">
        <f>"6281100503316"</f>
        <v>6281100503316</v>
      </c>
      <c r="B861" s="2" t="s">
        <v>2808</v>
      </c>
      <c r="C861" s="2" t="s">
        <v>2809</v>
      </c>
      <c r="D861" s="5" t="s">
        <v>15</v>
      </c>
      <c r="E861" s="5" t="s">
        <v>16</v>
      </c>
      <c r="F861" s="5" t="s">
        <v>17</v>
      </c>
      <c r="G861" s="5" t="s">
        <v>18</v>
      </c>
      <c r="H861" s="3" t="s">
        <v>466</v>
      </c>
      <c r="I861" s="3"/>
      <c r="J861" s="3"/>
      <c r="K861" s="5" t="s">
        <v>23</v>
      </c>
      <c r="L861" s="5">
        <v>8.5</v>
      </c>
      <c r="M861" s="2" t="s">
        <v>2810</v>
      </c>
    </row>
    <row r="862" spans="1:13" x14ac:dyDescent="0.25">
      <c r="A862" s="5" t="str">
        <f>"6271002190110"</f>
        <v>6271002190110</v>
      </c>
      <c r="B862" s="2" t="s">
        <v>2811</v>
      </c>
      <c r="C862" s="2" t="s">
        <v>2812</v>
      </c>
      <c r="D862" s="5" t="s">
        <v>15</v>
      </c>
      <c r="E862" s="5" t="s">
        <v>16</v>
      </c>
      <c r="F862" s="5" t="s">
        <v>17</v>
      </c>
      <c r="G862" s="5" t="s">
        <v>18</v>
      </c>
      <c r="H862" s="3" t="s">
        <v>100</v>
      </c>
      <c r="I862" s="3"/>
      <c r="J862" s="3"/>
      <c r="K862" s="5" t="s">
        <v>23</v>
      </c>
      <c r="L862" s="5">
        <v>1.5</v>
      </c>
      <c r="M862" s="2" t="s">
        <v>2813</v>
      </c>
    </row>
    <row r="863" spans="1:13" x14ac:dyDescent="0.25">
      <c r="A863" s="5" t="str">
        <f>"2144807000004"</f>
        <v>2144807000004</v>
      </c>
      <c r="B863" s="2" t="s">
        <v>2814</v>
      </c>
      <c r="C863" s="2" t="s">
        <v>2815</v>
      </c>
      <c r="D863" s="5" t="s">
        <v>15</v>
      </c>
      <c r="E863" s="5" t="s">
        <v>16</v>
      </c>
      <c r="F863" s="5" t="s">
        <v>17</v>
      </c>
      <c r="G863" s="5" t="s">
        <v>18</v>
      </c>
      <c r="H863" s="3"/>
      <c r="I863" s="3"/>
      <c r="J863" s="3"/>
      <c r="K863" s="5" t="s">
        <v>19</v>
      </c>
      <c r="L863" s="5">
        <v>49.95</v>
      </c>
      <c r="M863" s="2" t="s">
        <v>2816</v>
      </c>
    </row>
    <row r="864" spans="1:13" x14ac:dyDescent="0.25">
      <c r="A864" s="5" t="str">
        <f>"6281024014332"</f>
        <v>6281024014332</v>
      </c>
      <c r="B864" s="2" t="s">
        <v>2817</v>
      </c>
      <c r="C864" s="2" t="s">
        <v>2818</v>
      </c>
      <c r="D864" s="5" t="s">
        <v>15</v>
      </c>
      <c r="E864" s="5" t="s">
        <v>16</v>
      </c>
      <c r="F864" s="5" t="s">
        <v>17</v>
      </c>
      <c r="G864" s="5" t="s">
        <v>18</v>
      </c>
      <c r="H864" s="3" t="s">
        <v>2819</v>
      </c>
      <c r="I864" s="3"/>
      <c r="J864" s="3"/>
      <c r="K864" s="5" t="s">
        <v>23</v>
      </c>
      <c r="L864" s="5">
        <v>42</v>
      </c>
      <c r="M864" s="2" t="s">
        <v>2820</v>
      </c>
    </row>
    <row r="865" spans="1:13" x14ac:dyDescent="0.25">
      <c r="A865" s="5" t="str">
        <f>"6281026121403"</f>
        <v>6281026121403</v>
      </c>
      <c r="B865" s="2" t="s">
        <v>2821</v>
      </c>
      <c r="C865" s="2" t="s">
        <v>2822</v>
      </c>
      <c r="D865" s="5" t="s">
        <v>15</v>
      </c>
      <c r="E865" s="5" t="s">
        <v>16</v>
      </c>
      <c r="F865" s="5" t="s">
        <v>17</v>
      </c>
      <c r="G865" s="5" t="s">
        <v>18</v>
      </c>
      <c r="H865" s="3" t="s">
        <v>1041</v>
      </c>
      <c r="I865" s="3"/>
      <c r="J865" s="3"/>
      <c r="K865" s="5" t="s">
        <v>23</v>
      </c>
      <c r="L865" s="5">
        <v>1.25</v>
      </c>
      <c r="M865" s="2" t="s">
        <v>2823</v>
      </c>
    </row>
    <row r="866" spans="1:13" x14ac:dyDescent="0.25">
      <c r="A866" s="5" t="str">
        <f>"6281022115734"</f>
        <v>6281022115734</v>
      </c>
      <c r="B866" s="2" t="s">
        <v>2824</v>
      </c>
      <c r="C866" s="2" t="s">
        <v>2825</v>
      </c>
      <c r="D866" s="5" t="s">
        <v>15</v>
      </c>
      <c r="E866" s="5" t="s">
        <v>16</v>
      </c>
      <c r="F866" s="5" t="s">
        <v>17</v>
      </c>
      <c r="G866" s="5" t="s">
        <v>18</v>
      </c>
      <c r="H866" s="3" t="s">
        <v>184</v>
      </c>
      <c r="I866" s="3"/>
      <c r="J866" s="3" t="s">
        <v>2719</v>
      </c>
      <c r="K866" s="5" t="s">
        <v>23</v>
      </c>
      <c r="L866" s="5">
        <v>3</v>
      </c>
      <c r="M866" s="2" t="s">
        <v>2826</v>
      </c>
    </row>
    <row r="867" spans="1:13" x14ac:dyDescent="0.25">
      <c r="A867" s="5" t="str">
        <f>"6281020307339"</f>
        <v>6281020307339</v>
      </c>
      <c r="B867" s="2" t="s">
        <v>2827</v>
      </c>
      <c r="C867" s="2" t="s">
        <v>2828</v>
      </c>
      <c r="D867" s="5" t="s">
        <v>15</v>
      </c>
      <c r="E867" s="5" t="s">
        <v>16</v>
      </c>
      <c r="F867" s="5" t="s">
        <v>17</v>
      </c>
      <c r="G867" s="5" t="s">
        <v>18</v>
      </c>
      <c r="H867" s="3" t="s">
        <v>1146</v>
      </c>
      <c r="I867" s="3" t="s">
        <v>108</v>
      </c>
      <c r="J867" s="3" t="s">
        <v>385</v>
      </c>
      <c r="K867" s="5" t="s">
        <v>23</v>
      </c>
      <c r="L867" s="5">
        <v>1.5</v>
      </c>
      <c r="M867" s="2" t="s">
        <v>2829</v>
      </c>
    </row>
    <row r="868" spans="1:13" x14ac:dyDescent="0.25">
      <c r="A868" s="5" t="str">
        <f>"6281020172388"</f>
        <v>6281020172388</v>
      </c>
      <c r="B868" s="2" t="s">
        <v>2830</v>
      </c>
      <c r="C868" s="2" t="s">
        <v>2831</v>
      </c>
      <c r="D868" s="5" t="s">
        <v>15</v>
      </c>
      <c r="E868" s="5" t="s">
        <v>16</v>
      </c>
      <c r="F868" s="5" t="s">
        <v>17</v>
      </c>
      <c r="G868" s="5" t="s">
        <v>18</v>
      </c>
      <c r="H868" s="3" t="s">
        <v>1146</v>
      </c>
      <c r="I868" s="3"/>
      <c r="J868" s="3"/>
      <c r="K868" s="5" t="s">
        <v>23</v>
      </c>
      <c r="L868" s="5">
        <v>5.5</v>
      </c>
      <c r="M868" s="2" t="s">
        <v>2832</v>
      </c>
    </row>
    <row r="869" spans="1:13" x14ac:dyDescent="0.25">
      <c r="A869" s="5" t="str">
        <f>"8001860183584"</f>
        <v>8001860183584</v>
      </c>
      <c r="B869" s="2" t="s">
        <v>2833</v>
      </c>
      <c r="C869" s="2" t="s">
        <v>2834</v>
      </c>
      <c r="D869" s="5" t="s">
        <v>15</v>
      </c>
      <c r="E869" s="5" t="s">
        <v>16</v>
      </c>
      <c r="F869" s="5" t="s">
        <v>17</v>
      </c>
      <c r="G869" s="5" t="s">
        <v>18</v>
      </c>
      <c r="H869" s="3" t="s">
        <v>2064</v>
      </c>
      <c r="I869" s="3"/>
      <c r="J869" s="3" t="s">
        <v>238</v>
      </c>
      <c r="K869" s="5" t="s">
        <v>23</v>
      </c>
      <c r="L869" s="5">
        <v>20.25</v>
      </c>
      <c r="M869" s="2" t="s">
        <v>2835</v>
      </c>
    </row>
    <row r="870" spans="1:13" x14ac:dyDescent="0.25">
      <c r="A870" s="5" t="str">
        <f>"6281026121199"</f>
        <v>6281026121199</v>
      </c>
      <c r="B870" s="2" t="s">
        <v>2836</v>
      </c>
      <c r="C870" s="2" t="s">
        <v>2837</v>
      </c>
      <c r="D870" s="5" t="s">
        <v>15</v>
      </c>
      <c r="E870" s="5" t="s">
        <v>16</v>
      </c>
      <c r="F870" s="5" t="s">
        <v>17</v>
      </c>
      <c r="G870" s="5" t="s">
        <v>18</v>
      </c>
      <c r="H870" s="3" t="s">
        <v>1041</v>
      </c>
      <c r="I870" s="3"/>
      <c r="J870" s="3"/>
      <c r="K870" s="5" t="s">
        <v>23</v>
      </c>
      <c r="L870" s="5">
        <v>36</v>
      </c>
      <c r="M870" s="2" t="s">
        <v>2838</v>
      </c>
    </row>
    <row r="871" spans="1:13" x14ac:dyDescent="0.25">
      <c r="A871" s="5" t="str">
        <f>"6281022183399"</f>
        <v>6281022183399</v>
      </c>
      <c r="B871" s="2" t="s">
        <v>2839</v>
      </c>
      <c r="C871" s="2" t="s">
        <v>2840</v>
      </c>
      <c r="D871" s="5" t="s">
        <v>15</v>
      </c>
      <c r="E871" s="5" t="s">
        <v>16</v>
      </c>
      <c r="F871" s="5" t="s">
        <v>17</v>
      </c>
      <c r="G871" s="5" t="s">
        <v>18</v>
      </c>
      <c r="H871" s="3"/>
      <c r="I871" s="3"/>
      <c r="J871" s="3" t="s">
        <v>2622</v>
      </c>
      <c r="K871" s="5" t="s">
        <v>23</v>
      </c>
      <c r="L871" s="5">
        <v>1.5</v>
      </c>
      <c r="M871" s="2" t="s">
        <v>2841</v>
      </c>
    </row>
    <row r="872" spans="1:13" x14ac:dyDescent="0.25">
      <c r="A872" s="5" t="str">
        <f>"6281020307346"</f>
        <v>6281020307346</v>
      </c>
      <c r="B872" s="2" t="s">
        <v>2842</v>
      </c>
      <c r="C872" s="2" t="s">
        <v>2843</v>
      </c>
      <c r="D872" s="5" t="s">
        <v>15</v>
      </c>
      <c r="E872" s="5" t="s">
        <v>16</v>
      </c>
      <c r="F872" s="5" t="s">
        <v>17</v>
      </c>
      <c r="G872" s="5" t="s">
        <v>18</v>
      </c>
      <c r="H872" s="3" t="s">
        <v>1146</v>
      </c>
      <c r="I872" s="3"/>
      <c r="J872" s="3"/>
      <c r="K872" s="5" t="s">
        <v>23</v>
      </c>
      <c r="L872" s="5">
        <v>30.25</v>
      </c>
      <c r="M872" s="2" t="s">
        <v>2844</v>
      </c>
    </row>
    <row r="873" spans="1:13" x14ac:dyDescent="0.25">
      <c r="A873" s="5" t="str">
        <f>"6281057006410"</f>
        <v>6281057006410</v>
      </c>
      <c r="B873" s="2" t="s">
        <v>2845</v>
      </c>
      <c r="C873" s="2" t="s">
        <v>2846</v>
      </c>
      <c r="D873" s="5" t="s">
        <v>15</v>
      </c>
      <c r="E873" s="5" t="s">
        <v>16</v>
      </c>
      <c r="F873" s="5" t="s">
        <v>17</v>
      </c>
      <c r="G873" s="5" t="s">
        <v>18</v>
      </c>
      <c r="H873" s="3" t="s">
        <v>44</v>
      </c>
      <c r="I873" s="3"/>
      <c r="J873" s="3" t="s">
        <v>392</v>
      </c>
      <c r="K873" s="5" t="s">
        <v>23</v>
      </c>
      <c r="L873" s="5">
        <v>30.25</v>
      </c>
      <c r="M873" s="2" t="s">
        <v>2847</v>
      </c>
    </row>
    <row r="874" spans="1:13" x14ac:dyDescent="0.25">
      <c r="A874" s="5" t="str">
        <f>"6281100500155"</f>
        <v>6281100500155</v>
      </c>
      <c r="B874" s="2" t="s">
        <v>2848</v>
      </c>
      <c r="C874" s="2" t="s">
        <v>2849</v>
      </c>
      <c r="D874" s="5" t="s">
        <v>15</v>
      </c>
      <c r="E874" s="5" t="s">
        <v>16</v>
      </c>
      <c r="F874" s="5" t="s">
        <v>17</v>
      </c>
      <c r="G874" s="5" t="s">
        <v>18</v>
      </c>
      <c r="H874" s="3" t="s">
        <v>466</v>
      </c>
      <c r="I874" s="3"/>
      <c r="J874" s="3"/>
      <c r="K874" s="5" t="s">
        <v>23</v>
      </c>
      <c r="L874" s="5">
        <v>26.95</v>
      </c>
      <c r="M874" s="2" t="s">
        <v>2850</v>
      </c>
    </row>
    <row r="875" spans="1:13" x14ac:dyDescent="0.25">
      <c r="A875" s="5" t="str">
        <f>"6281100502357"</f>
        <v>6281100502357</v>
      </c>
      <c r="B875" s="2" t="s">
        <v>2851</v>
      </c>
      <c r="C875" s="2" t="s">
        <v>2852</v>
      </c>
      <c r="D875" s="5" t="s">
        <v>15</v>
      </c>
      <c r="E875" s="5" t="s">
        <v>16</v>
      </c>
      <c r="F875" s="5" t="s">
        <v>17</v>
      </c>
      <c r="G875" s="5" t="s">
        <v>18</v>
      </c>
      <c r="H875" s="3" t="s">
        <v>466</v>
      </c>
      <c r="I875" s="3"/>
      <c r="J875" s="3"/>
      <c r="K875" s="5" t="s">
        <v>23</v>
      </c>
      <c r="L875" s="5">
        <v>7.25</v>
      </c>
      <c r="M875" s="2" t="s">
        <v>2853</v>
      </c>
    </row>
    <row r="876" spans="1:13" x14ac:dyDescent="0.25">
      <c r="A876" s="5" t="str">
        <f>"6281020308039"</f>
        <v>6281020308039</v>
      </c>
      <c r="B876" s="2" t="s">
        <v>2854</v>
      </c>
      <c r="C876" s="2" t="s">
        <v>2855</v>
      </c>
      <c r="D876" s="5" t="s">
        <v>15</v>
      </c>
      <c r="E876" s="5" t="s">
        <v>16</v>
      </c>
      <c r="F876" s="5" t="s">
        <v>17</v>
      </c>
      <c r="G876" s="5" t="s">
        <v>18</v>
      </c>
      <c r="H876" s="3" t="s">
        <v>1146</v>
      </c>
      <c r="I876" s="3" t="s">
        <v>33</v>
      </c>
      <c r="J876" s="3" t="s">
        <v>385</v>
      </c>
      <c r="K876" s="5" t="s">
        <v>23</v>
      </c>
      <c r="L876" s="5">
        <v>1.95</v>
      </c>
      <c r="M876" s="2" t="s">
        <v>2856</v>
      </c>
    </row>
    <row r="877" spans="1:13" x14ac:dyDescent="0.25">
      <c r="A877" s="5" t="str">
        <f>"6281100500858"</f>
        <v>6281100500858</v>
      </c>
      <c r="B877" s="2" t="s">
        <v>2857</v>
      </c>
      <c r="C877" s="2" t="s">
        <v>2858</v>
      </c>
      <c r="D877" s="5" t="s">
        <v>15</v>
      </c>
      <c r="E877" s="5" t="s">
        <v>16</v>
      </c>
      <c r="F877" s="5" t="s">
        <v>17</v>
      </c>
      <c r="G877" s="5" t="s">
        <v>18</v>
      </c>
      <c r="H877" s="3" t="s">
        <v>466</v>
      </c>
      <c r="I877" s="3"/>
      <c r="J877" s="3" t="s">
        <v>109</v>
      </c>
      <c r="K877" s="5" t="s">
        <v>23</v>
      </c>
      <c r="L877" s="5">
        <v>12</v>
      </c>
      <c r="M877" s="2" t="s">
        <v>2859</v>
      </c>
    </row>
    <row r="878" spans="1:13" x14ac:dyDescent="0.25">
      <c r="A878" s="5" t="str">
        <f>"6281022167580"</f>
        <v>6281022167580</v>
      </c>
      <c r="B878" s="2" t="s">
        <v>2860</v>
      </c>
      <c r="C878" s="2" t="s">
        <v>2861</v>
      </c>
      <c r="D878" s="5" t="s">
        <v>15</v>
      </c>
      <c r="E878" s="5" t="s">
        <v>16</v>
      </c>
      <c r="F878" s="5" t="s">
        <v>17</v>
      </c>
      <c r="G878" s="5" t="s">
        <v>18</v>
      </c>
      <c r="H878" s="3"/>
      <c r="I878" s="3" t="s">
        <v>141</v>
      </c>
      <c r="J878" s="3" t="s">
        <v>510</v>
      </c>
      <c r="K878" s="5" t="s">
        <v>23</v>
      </c>
      <c r="L878" s="5">
        <v>33</v>
      </c>
      <c r="M878" s="2" t="s">
        <v>2862</v>
      </c>
    </row>
    <row r="879" spans="1:13" x14ac:dyDescent="0.25">
      <c r="A879" s="5" t="str">
        <f>"6281022167146"</f>
        <v>6281022167146</v>
      </c>
      <c r="B879" s="2" t="s">
        <v>2863</v>
      </c>
      <c r="C879" s="2" t="s">
        <v>2864</v>
      </c>
      <c r="D879" s="5" t="s">
        <v>15</v>
      </c>
      <c r="E879" s="5" t="s">
        <v>16</v>
      </c>
      <c r="F879" s="5" t="s">
        <v>17</v>
      </c>
      <c r="G879" s="5" t="s">
        <v>18</v>
      </c>
      <c r="H879" s="3"/>
      <c r="I879" s="3"/>
      <c r="J879" s="3" t="s">
        <v>28</v>
      </c>
      <c r="K879" s="5" t="s">
        <v>23</v>
      </c>
      <c r="L879" s="5">
        <v>9.25</v>
      </c>
      <c r="M879" s="2" t="s">
        <v>2865</v>
      </c>
    </row>
    <row r="880" spans="1:13" x14ac:dyDescent="0.25">
      <c r="A880" s="5" t="str">
        <f>"6281100500230"</f>
        <v>6281100500230</v>
      </c>
      <c r="B880" s="2" t="s">
        <v>2866</v>
      </c>
      <c r="C880" s="2" t="s">
        <v>2867</v>
      </c>
      <c r="D880" s="5" t="s">
        <v>15</v>
      </c>
      <c r="E880" s="5" t="s">
        <v>16</v>
      </c>
      <c r="F880" s="5" t="s">
        <v>17</v>
      </c>
      <c r="G880" s="5" t="s">
        <v>18</v>
      </c>
      <c r="H880" s="3" t="s">
        <v>466</v>
      </c>
      <c r="I880" s="3"/>
      <c r="J880" s="3"/>
      <c r="K880" s="5" t="s">
        <v>23</v>
      </c>
      <c r="L880" s="5">
        <v>13.25</v>
      </c>
      <c r="M880" s="2" t="s">
        <v>2868</v>
      </c>
    </row>
    <row r="881" spans="1:13" x14ac:dyDescent="0.25">
      <c r="A881" s="5" t="str">
        <f>"6281026121106"</f>
        <v>6281026121106</v>
      </c>
      <c r="B881" s="2" t="s">
        <v>2869</v>
      </c>
      <c r="C881" s="2" t="s">
        <v>2870</v>
      </c>
      <c r="D881" s="5" t="s">
        <v>15</v>
      </c>
      <c r="E881" s="5" t="s">
        <v>16</v>
      </c>
      <c r="F881" s="5" t="s">
        <v>17</v>
      </c>
      <c r="G881" s="5" t="s">
        <v>18</v>
      </c>
      <c r="H881" s="3" t="s">
        <v>1041</v>
      </c>
      <c r="I881" s="3"/>
      <c r="J881" s="3"/>
      <c r="K881" s="5" t="s">
        <v>23</v>
      </c>
      <c r="L881" s="5">
        <v>36</v>
      </c>
      <c r="M881" s="2" t="s">
        <v>2871</v>
      </c>
    </row>
    <row r="882" spans="1:13" x14ac:dyDescent="0.25">
      <c r="A882" s="5" t="str">
        <f>"6281057015856"</f>
        <v>6281057015856</v>
      </c>
      <c r="B882" s="2" t="s">
        <v>2872</v>
      </c>
      <c r="C882" s="2" t="s">
        <v>2873</v>
      </c>
      <c r="D882" s="5" t="s">
        <v>15</v>
      </c>
      <c r="E882" s="5" t="s">
        <v>16</v>
      </c>
      <c r="F882" s="5" t="s">
        <v>17</v>
      </c>
      <c r="G882" s="5" t="s">
        <v>18</v>
      </c>
      <c r="H882" s="3" t="s">
        <v>44</v>
      </c>
      <c r="I882" s="3"/>
      <c r="J882" s="3" t="s">
        <v>2261</v>
      </c>
      <c r="K882" s="5" t="s">
        <v>23</v>
      </c>
      <c r="L882" s="5">
        <v>1.25</v>
      </c>
      <c r="M882" s="2" t="s">
        <v>2874</v>
      </c>
    </row>
    <row r="883" spans="1:13" x14ac:dyDescent="0.25">
      <c r="A883" s="5" t="str">
        <f>"3073781157048"</f>
        <v>3073781157048</v>
      </c>
      <c r="B883" s="2" t="s">
        <v>2875</v>
      </c>
      <c r="C883" s="2" t="s">
        <v>2876</v>
      </c>
      <c r="D883" s="5" t="s">
        <v>15</v>
      </c>
      <c r="E883" s="5" t="s">
        <v>16</v>
      </c>
      <c r="F883" s="5" t="s">
        <v>17</v>
      </c>
      <c r="G883" s="5" t="s">
        <v>18</v>
      </c>
      <c r="H883" s="3" t="s">
        <v>425</v>
      </c>
      <c r="I883" s="3" t="s">
        <v>108</v>
      </c>
      <c r="J883" s="3" t="s">
        <v>392</v>
      </c>
      <c r="K883" s="5" t="s">
        <v>23</v>
      </c>
      <c r="L883" s="5">
        <v>38</v>
      </c>
      <c r="M883" s="2" t="s">
        <v>2877</v>
      </c>
    </row>
    <row r="884" spans="1:13" x14ac:dyDescent="0.25">
      <c r="A884" s="5" t="str">
        <f>"6281057016198"</f>
        <v>6281057016198</v>
      </c>
      <c r="B884" s="2" t="s">
        <v>2878</v>
      </c>
      <c r="C884" s="2" t="s">
        <v>2879</v>
      </c>
      <c r="D884" s="5" t="s">
        <v>15</v>
      </c>
      <c r="E884" s="5" t="s">
        <v>16</v>
      </c>
      <c r="F884" s="5" t="s">
        <v>17</v>
      </c>
      <c r="G884" s="5" t="s">
        <v>18</v>
      </c>
      <c r="H884" s="3" t="s">
        <v>44</v>
      </c>
      <c r="I884" s="3"/>
      <c r="J884" s="3" t="s">
        <v>1128</v>
      </c>
      <c r="K884" s="5" t="s">
        <v>23</v>
      </c>
      <c r="L884" s="5">
        <v>3</v>
      </c>
      <c r="M884" s="2" t="s">
        <v>2880</v>
      </c>
    </row>
    <row r="885" spans="1:13" x14ac:dyDescent="0.25">
      <c r="A885" s="5" t="str">
        <f>"3073781159790"</f>
        <v>3073781159790</v>
      </c>
      <c r="B885" s="2" t="s">
        <v>2881</v>
      </c>
      <c r="C885" s="2" t="s">
        <v>2882</v>
      </c>
      <c r="D885" s="5" t="s">
        <v>15</v>
      </c>
      <c r="E885" s="5" t="s">
        <v>16</v>
      </c>
      <c r="F885" s="5" t="s">
        <v>17</v>
      </c>
      <c r="G885" s="5" t="s">
        <v>18</v>
      </c>
      <c r="H885" s="3" t="s">
        <v>425</v>
      </c>
      <c r="I885" s="3"/>
      <c r="J885" s="3"/>
      <c r="K885" s="5" t="s">
        <v>23</v>
      </c>
      <c r="L885" s="5">
        <v>41.25</v>
      </c>
      <c r="M885" s="2" t="s">
        <v>2883</v>
      </c>
    </row>
    <row r="886" spans="1:13" x14ac:dyDescent="0.25">
      <c r="A886" s="5" t="str">
        <f>"6281057050017"</f>
        <v>6281057050017</v>
      </c>
      <c r="B886" s="2" t="s">
        <v>2884</v>
      </c>
      <c r="C886" s="2" t="s">
        <v>2885</v>
      </c>
      <c r="D886" s="5" t="s">
        <v>15</v>
      </c>
      <c r="E886" s="5" t="s">
        <v>16</v>
      </c>
      <c r="F886" s="5" t="s">
        <v>17</v>
      </c>
      <c r="G886" s="5" t="s">
        <v>18</v>
      </c>
      <c r="H886" s="3" t="s">
        <v>44</v>
      </c>
      <c r="I886" s="3"/>
      <c r="J886" s="3" t="s">
        <v>2791</v>
      </c>
      <c r="K886" s="5" t="s">
        <v>23</v>
      </c>
      <c r="L886" s="5">
        <v>5.95</v>
      </c>
      <c r="M886" s="2" t="s">
        <v>2886</v>
      </c>
    </row>
    <row r="887" spans="1:13" x14ac:dyDescent="0.25">
      <c r="A887" s="5" t="str">
        <f>"5202390017063"</f>
        <v>5202390017063</v>
      </c>
      <c r="B887" s="2" t="s">
        <v>2887</v>
      </c>
      <c r="C887" s="2" t="s">
        <v>2888</v>
      </c>
      <c r="D887" s="5" t="s">
        <v>15</v>
      </c>
      <c r="E887" s="5" t="s">
        <v>16</v>
      </c>
      <c r="F887" s="5" t="s">
        <v>17</v>
      </c>
      <c r="G887" s="5" t="s">
        <v>18</v>
      </c>
      <c r="H887" s="3"/>
      <c r="I887" s="3" t="s">
        <v>2219</v>
      </c>
      <c r="J887" s="3" t="s">
        <v>2791</v>
      </c>
      <c r="K887" s="5" t="s">
        <v>23</v>
      </c>
      <c r="L887" s="5">
        <v>19.5</v>
      </c>
      <c r="M887" s="2" t="s">
        <v>2889</v>
      </c>
    </row>
    <row r="888" spans="1:13" x14ac:dyDescent="0.25">
      <c r="A888" s="5" t="str">
        <f>"6285835000799"</f>
        <v>6285835000799</v>
      </c>
      <c r="B888" s="2" t="s">
        <v>2890</v>
      </c>
      <c r="C888" s="2" t="s">
        <v>2891</v>
      </c>
      <c r="D888" s="5" t="s">
        <v>15</v>
      </c>
      <c r="E888" s="5" t="s">
        <v>16</v>
      </c>
      <c r="F888" s="5" t="s">
        <v>17</v>
      </c>
      <c r="G888" s="5" t="s">
        <v>18</v>
      </c>
      <c r="H888" s="3" t="s">
        <v>1921</v>
      </c>
      <c r="I888" s="3"/>
      <c r="J888" s="3" t="s">
        <v>2729</v>
      </c>
      <c r="K888" s="5" t="s">
        <v>23</v>
      </c>
      <c r="L888" s="5">
        <v>3.45</v>
      </c>
      <c r="M888" s="2" t="s">
        <v>2892</v>
      </c>
    </row>
    <row r="889" spans="1:13" x14ac:dyDescent="0.25">
      <c r="A889" s="5" t="str">
        <f>"6281026121007"</f>
        <v>6281026121007</v>
      </c>
      <c r="B889" s="2" t="s">
        <v>2893</v>
      </c>
      <c r="C889" s="2" t="s">
        <v>2894</v>
      </c>
      <c r="D889" s="5" t="s">
        <v>15</v>
      </c>
      <c r="E889" s="5" t="s">
        <v>16</v>
      </c>
      <c r="F889" s="5" t="s">
        <v>17</v>
      </c>
      <c r="G889" s="5" t="s">
        <v>18</v>
      </c>
      <c r="H889" s="3" t="s">
        <v>1041</v>
      </c>
      <c r="I889" s="3"/>
      <c r="J889" s="3" t="s">
        <v>2347</v>
      </c>
      <c r="K889" s="5" t="s">
        <v>23</v>
      </c>
      <c r="L889" s="5">
        <v>2</v>
      </c>
      <c r="M889" s="2" t="s">
        <v>2895</v>
      </c>
    </row>
    <row r="890" spans="1:13" x14ac:dyDescent="0.25">
      <c r="A890" s="5" t="str">
        <f>"6281026121441"</f>
        <v>6281026121441</v>
      </c>
      <c r="B890" s="2" t="s">
        <v>2896</v>
      </c>
      <c r="C890" s="2" t="s">
        <v>2897</v>
      </c>
      <c r="D890" s="5" t="s">
        <v>15</v>
      </c>
      <c r="E890" s="5" t="s">
        <v>16</v>
      </c>
      <c r="F890" s="5" t="s">
        <v>17</v>
      </c>
      <c r="G890" s="5" t="s">
        <v>18</v>
      </c>
      <c r="H890" s="3" t="s">
        <v>1041</v>
      </c>
      <c r="I890" s="3"/>
      <c r="J890" s="3"/>
      <c r="K890" s="5" t="s">
        <v>23</v>
      </c>
      <c r="L890" s="5">
        <v>1.25</v>
      </c>
      <c r="M890" s="2" t="s">
        <v>2898</v>
      </c>
    </row>
    <row r="891" spans="1:13" x14ac:dyDescent="0.25">
      <c r="A891" s="5" t="str">
        <f>"6285835000768"</f>
        <v>6285835000768</v>
      </c>
      <c r="B891" s="2" t="s">
        <v>2899</v>
      </c>
      <c r="C891" s="2" t="s">
        <v>2900</v>
      </c>
      <c r="D891" s="5" t="s">
        <v>15</v>
      </c>
      <c r="E891" s="5" t="s">
        <v>16</v>
      </c>
      <c r="F891" s="5" t="s">
        <v>17</v>
      </c>
      <c r="G891" s="5" t="s">
        <v>18</v>
      </c>
      <c r="H891" s="3" t="s">
        <v>1921</v>
      </c>
      <c r="I891" s="3"/>
      <c r="J891" s="3" t="s">
        <v>2729</v>
      </c>
      <c r="K891" s="5" t="s">
        <v>23</v>
      </c>
      <c r="L891" s="5">
        <v>3.45</v>
      </c>
      <c r="M891" s="2" t="s">
        <v>2901</v>
      </c>
    </row>
    <row r="892" spans="1:13" x14ac:dyDescent="0.25">
      <c r="A892" s="5" t="str">
        <f>"6281057004874"</f>
        <v>6281057004874</v>
      </c>
      <c r="B892" s="2" t="s">
        <v>1481</v>
      </c>
      <c r="C892" s="2" t="s">
        <v>2902</v>
      </c>
      <c r="D892" s="5" t="s">
        <v>15</v>
      </c>
      <c r="E892" s="5" t="s">
        <v>16</v>
      </c>
      <c r="F892" s="5" t="s">
        <v>17</v>
      </c>
      <c r="G892" s="5" t="s">
        <v>18</v>
      </c>
      <c r="H892" s="3" t="s">
        <v>44</v>
      </c>
      <c r="I892" s="3"/>
      <c r="J892" s="3"/>
      <c r="K892" s="5" t="s">
        <v>23</v>
      </c>
      <c r="L892" s="5">
        <v>3.95</v>
      </c>
      <c r="M892" s="2" t="s">
        <v>2903</v>
      </c>
    </row>
    <row r="893" spans="1:13" x14ac:dyDescent="0.25">
      <c r="A893" s="5" t="str">
        <f>"7340001804218"</f>
        <v>7340001804218</v>
      </c>
      <c r="B893" s="2" t="s">
        <v>2904</v>
      </c>
      <c r="C893" s="2" t="s">
        <v>1485</v>
      </c>
      <c r="D893" s="5" t="s">
        <v>15</v>
      </c>
      <c r="E893" s="5" t="s">
        <v>16</v>
      </c>
      <c r="F893" s="5" t="s">
        <v>17</v>
      </c>
      <c r="G893" s="5" t="s">
        <v>18</v>
      </c>
      <c r="H893" s="3"/>
      <c r="I893" s="3"/>
      <c r="J893" s="3" t="s">
        <v>1574</v>
      </c>
      <c r="K893" s="5" t="s">
        <v>23</v>
      </c>
      <c r="L893" s="5">
        <v>20.95</v>
      </c>
      <c r="M893" s="2" t="s">
        <v>2905</v>
      </c>
    </row>
    <row r="894" spans="1:13" x14ac:dyDescent="0.25">
      <c r="A894" s="5" t="str">
        <f>"3073780985604"</f>
        <v>3073780985604</v>
      </c>
      <c r="B894" s="2" t="s">
        <v>2906</v>
      </c>
      <c r="C894" s="2" t="s">
        <v>2907</v>
      </c>
      <c r="D894" s="5" t="s">
        <v>15</v>
      </c>
      <c r="E894" s="5" t="s">
        <v>16</v>
      </c>
      <c r="F894" s="5" t="s">
        <v>17</v>
      </c>
      <c r="G894" s="5" t="s">
        <v>18</v>
      </c>
      <c r="H894" s="3" t="s">
        <v>425</v>
      </c>
      <c r="I894" s="3"/>
      <c r="J894" s="3" t="s">
        <v>427</v>
      </c>
      <c r="K894" s="5" t="s">
        <v>23</v>
      </c>
      <c r="L894" s="5">
        <v>22.5</v>
      </c>
      <c r="M894" s="2" t="s">
        <v>2908</v>
      </c>
    </row>
    <row r="895" spans="1:13" x14ac:dyDescent="0.25">
      <c r="A895" s="5" t="str">
        <f>"8695543003407"</f>
        <v>8695543003407</v>
      </c>
      <c r="B895" s="2" t="s">
        <v>2909</v>
      </c>
      <c r="C895" s="2" t="s">
        <v>2910</v>
      </c>
      <c r="D895" s="5" t="s">
        <v>15</v>
      </c>
      <c r="E895" s="5" t="s">
        <v>16</v>
      </c>
      <c r="F895" s="5" t="s">
        <v>17</v>
      </c>
      <c r="G895" s="5" t="s">
        <v>18</v>
      </c>
      <c r="H895" s="3" t="s">
        <v>2416</v>
      </c>
      <c r="I895" s="3"/>
      <c r="J895" s="3" t="s">
        <v>28</v>
      </c>
      <c r="K895" s="5" t="s">
        <v>23</v>
      </c>
      <c r="L895" s="5">
        <v>27.95</v>
      </c>
      <c r="M895" s="2" t="s">
        <v>2911</v>
      </c>
    </row>
    <row r="896" spans="1:13" x14ac:dyDescent="0.25">
      <c r="A896" s="5" t="str">
        <f>"6281057013487"</f>
        <v>6281057013487</v>
      </c>
      <c r="B896" s="2" t="s">
        <v>2912</v>
      </c>
      <c r="C896" s="2" t="s">
        <v>2913</v>
      </c>
      <c r="D896" s="5" t="s">
        <v>15</v>
      </c>
      <c r="E896" s="5" t="s">
        <v>16</v>
      </c>
      <c r="F896" s="5" t="s">
        <v>17</v>
      </c>
      <c r="G896" s="5" t="s">
        <v>18</v>
      </c>
      <c r="H896" s="3" t="s">
        <v>44</v>
      </c>
      <c r="I896" s="3" t="s">
        <v>33</v>
      </c>
      <c r="J896" s="3" t="s">
        <v>2719</v>
      </c>
      <c r="K896" s="5" t="s">
        <v>23</v>
      </c>
      <c r="L896" s="5">
        <v>3.5</v>
      </c>
      <c r="M896" s="2" t="s">
        <v>2914</v>
      </c>
    </row>
    <row r="897" spans="1:13" x14ac:dyDescent="0.25">
      <c r="A897" s="5" t="str">
        <f>"6281020172395"</f>
        <v>6281020172395</v>
      </c>
      <c r="B897" s="2" t="s">
        <v>2915</v>
      </c>
      <c r="C897" s="2" t="s">
        <v>2916</v>
      </c>
      <c r="D897" s="5" t="s">
        <v>15</v>
      </c>
      <c r="E897" s="5" t="s">
        <v>16</v>
      </c>
      <c r="F897" s="5" t="s">
        <v>17</v>
      </c>
      <c r="G897" s="5" t="s">
        <v>18</v>
      </c>
      <c r="H897" s="3" t="s">
        <v>1146</v>
      </c>
      <c r="I897" s="3"/>
      <c r="J897" s="3"/>
      <c r="K897" s="5" t="s">
        <v>23</v>
      </c>
      <c r="L897" s="5">
        <v>5.5</v>
      </c>
      <c r="M897" s="2" t="s">
        <v>2917</v>
      </c>
    </row>
    <row r="898" spans="1:13" x14ac:dyDescent="0.25">
      <c r="A898" s="5" t="str">
        <f>"6281033305087"</f>
        <v>6281033305087</v>
      </c>
      <c r="B898" s="2" t="s">
        <v>2918</v>
      </c>
      <c r="C898" s="2" t="s">
        <v>2919</v>
      </c>
      <c r="D898" s="5" t="s">
        <v>15</v>
      </c>
      <c r="E898" s="5" t="s">
        <v>16</v>
      </c>
      <c r="F898" s="5" t="s">
        <v>17</v>
      </c>
      <c r="G898" s="5" t="s">
        <v>18</v>
      </c>
      <c r="H898" s="3" t="s">
        <v>2127</v>
      </c>
      <c r="I898" s="3" t="s">
        <v>33</v>
      </c>
      <c r="J898" s="3" t="s">
        <v>2920</v>
      </c>
      <c r="K898" s="5" t="s">
        <v>23</v>
      </c>
      <c r="L898" s="5">
        <v>19.25</v>
      </c>
      <c r="M898" s="2" t="s">
        <v>2921</v>
      </c>
    </row>
    <row r="899" spans="1:13" x14ac:dyDescent="0.25">
      <c r="A899" s="5" t="str">
        <f>"6281026121045"</f>
        <v>6281026121045</v>
      </c>
      <c r="B899" s="2" t="s">
        <v>2922</v>
      </c>
      <c r="C899" s="2" t="s">
        <v>2923</v>
      </c>
      <c r="D899" s="5" t="s">
        <v>15</v>
      </c>
      <c r="E899" s="5" t="s">
        <v>16</v>
      </c>
      <c r="F899" s="5" t="s">
        <v>17</v>
      </c>
      <c r="G899" s="5" t="s">
        <v>18</v>
      </c>
      <c r="H899" s="3" t="s">
        <v>1041</v>
      </c>
      <c r="I899" s="3"/>
      <c r="J899" s="3"/>
      <c r="K899" s="5" t="s">
        <v>23</v>
      </c>
      <c r="L899" s="5">
        <v>36</v>
      </c>
      <c r="M899" s="2" t="s">
        <v>2924</v>
      </c>
    </row>
    <row r="900" spans="1:13" x14ac:dyDescent="0.25">
      <c r="A900" s="5" t="str">
        <f>"6281026121038"</f>
        <v>6281026121038</v>
      </c>
      <c r="B900" s="2" t="s">
        <v>2925</v>
      </c>
      <c r="C900" s="2" t="s">
        <v>2926</v>
      </c>
      <c r="D900" s="5" t="s">
        <v>15</v>
      </c>
      <c r="E900" s="5" t="s">
        <v>16</v>
      </c>
      <c r="F900" s="5" t="s">
        <v>17</v>
      </c>
      <c r="G900" s="5" t="s">
        <v>18</v>
      </c>
      <c r="H900" s="3" t="s">
        <v>1041</v>
      </c>
      <c r="I900" s="3"/>
      <c r="J900" s="3"/>
      <c r="K900" s="5" t="s">
        <v>23</v>
      </c>
      <c r="L900" s="5">
        <v>2</v>
      </c>
      <c r="M900" s="2" t="s">
        <v>2927</v>
      </c>
    </row>
    <row r="901" spans="1:13" x14ac:dyDescent="0.25">
      <c r="A901" s="5" t="str">
        <f>"6281057050253"</f>
        <v>6281057050253</v>
      </c>
      <c r="B901" s="2" t="s">
        <v>2928</v>
      </c>
      <c r="C901" s="2" t="s">
        <v>2929</v>
      </c>
      <c r="D901" s="5" t="s">
        <v>15</v>
      </c>
      <c r="E901" s="5" t="s">
        <v>16</v>
      </c>
      <c r="F901" s="5" t="s">
        <v>17</v>
      </c>
      <c r="G901" s="5" t="s">
        <v>18</v>
      </c>
      <c r="H901" s="3" t="s">
        <v>44</v>
      </c>
      <c r="I901" s="3"/>
      <c r="J901" s="3" t="s">
        <v>1409</v>
      </c>
      <c r="K901" s="5" t="s">
        <v>23</v>
      </c>
      <c r="L901" s="5">
        <v>9.5</v>
      </c>
      <c r="M901" s="2" t="s">
        <v>2930</v>
      </c>
    </row>
    <row r="902" spans="1:13" x14ac:dyDescent="0.25">
      <c r="A902" s="5" t="str">
        <f>"6291003157134"</f>
        <v>6291003157134</v>
      </c>
      <c r="B902" s="2" t="s">
        <v>2931</v>
      </c>
      <c r="C902" s="2" t="s">
        <v>2932</v>
      </c>
      <c r="D902" s="5" t="s">
        <v>15</v>
      </c>
      <c r="E902" s="5" t="s">
        <v>16</v>
      </c>
      <c r="F902" s="5" t="s">
        <v>17</v>
      </c>
      <c r="G902" s="5" t="s">
        <v>18</v>
      </c>
      <c r="H902" s="3" t="s">
        <v>2933</v>
      </c>
      <c r="I902" s="3"/>
      <c r="J902" s="3" t="s">
        <v>238</v>
      </c>
      <c r="K902" s="5" t="s">
        <v>23</v>
      </c>
      <c r="L902" s="5">
        <v>28.75</v>
      </c>
      <c r="M902" s="2" t="s">
        <v>2934</v>
      </c>
    </row>
    <row r="903" spans="1:13" x14ac:dyDescent="0.25">
      <c r="A903" s="5" t="str">
        <f>"6281022183337"</f>
        <v>6281022183337</v>
      </c>
      <c r="B903" s="2" t="s">
        <v>2935</v>
      </c>
      <c r="C903" s="2" t="s">
        <v>2936</v>
      </c>
      <c r="D903" s="5" t="s">
        <v>15</v>
      </c>
      <c r="E903" s="5" t="s">
        <v>16</v>
      </c>
      <c r="F903" s="5" t="s">
        <v>17</v>
      </c>
      <c r="G903" s="5" t="s">
        <v>18</v>
      </c>
      <c r="H903" s="3"/>
      <c r="I903" s="3"/>
      <c r="J903" s="3" t="s">
        <v>2347</v>
      </c>
      <c r="K903" s="5" t="s">
        <v>23</v>
      </c>
      <c r="L903" s="5">
        <v>2</v>
      </c>
      <c r="M903" s="2" t="s">
        <v>2937</v>
      </c>
    </row>
    <row r="904" spans="1:13" x14ac:dyDescent="0.25">
      <c r="A904" s="5" t="str">
        <f>"6281026121182"</f>
        <v>6281026121182</v>
      </c>
      <c r="B904" s="2" t="s">
        <v>2938</v>
      </c>
      <c r="C904" s="2" t="s">
        <v>2939</v>
      </c>
      <c r="D904" s="5" t="s">
        <v>15</v>
      </c>
      <c r="E904" s="5" t="s">
        <v>16</v>
      </c>
      <c r="F904" s="5" t="s">
        <v>17</v>
      </c>
      <c r="G904" s="5" t="s">
        <v>18</v>
      </c>
      <c r="H904" s="3" t="s">
        <v>1041</v>
      </c>
      <c r="I904" s="3"/>
      <c r="J904" s="3"/>
      <c r="K904" s="5" t="s">
        <v>23</v>
      </c>
      <c r="L904" s="5">
        <v>2</v>
      </c>
      <c r="M904" s="2" t="s">
        <v>2940</v>
      </c>
    </row>
    <row r="905" spans="1:13" x14ac:dyDescent="0.25">
      <c r="A905" s="5" t="str">
        <f>"6281057007592"</f>
        <v>6281057007592</v>
      </c>
      <c r="B905" s="2" t="s">
        <v>2941</v>
      </c>
      <c r="C905" s="2" t="s">
        <v>2942</v>
      </c>
      <c r="D905" s="5" t="s">
        <v>15</v>
      </c>
      <c r="E905" s="5" t="s">
        <v>16</v>
      </c>
      <c r="F905" s="5" t="s">
        <v>17</v>
      </c>
      <c r="G905" s="5" t="s">
        <v>18</v>
      </c>
      <c r="H905" s="3" t="s">
        <v>44</v>
      </c>
      <c r="I905" s="3"/>
      <c r="J905" s="3" t="s">
        <v>2347</v>
      </c>
      <c r="K905" s="5" t="s">
        <v>23</v>
      </c>
      <c r="L905" s="5">
        <v>2</v>
      </c>
      <c r="M905" s="2" t="s">
        <v>2943</v>
      </c>
    </row>
    <row r="906" spans="1:13" x14ac:dyDescent="0.25">
      <c r="A906" s="5" t="str">
        <f>"6281018117889"</f>
        <v>6281018117889</v>
      </c>
      <c r="B906" s="2" t="s">
        <v>2944</v>
      </c>
      <c r="C906" s="2" t="s">
        <v>2945</v>
      </c>
      <c r="D906" s="5" t="s">
        <v>15</v>
      </c>
      <c r="E906" s="5" t="s">
        <v>16</v>
      </c>
      <c r="F906" s="5" t="s">
        <v>17</v>
      </c>
      <c r="G906" s="5" t="s">
        <v>18</v>
      </c>
      <c r="H906" s="3" t="s">
        <v>67</v>
      </c>
      <c r="I906" s="3"/>
      <c r="J906" s="3" t="s">
        <v>2347</v>
      </c>
      <c r="K906" s="5" t="s">
        <v>23</v>
      </c>
      <c r="L906" s="5">
        <v>2</v>
      </c>
      <c r="M906" s="2" t="s">
        <v>2946</v>
      </c>
    </row>
    <row r="907" spans="1:13" x14ac:dyDescent="0.25">
      <c r="A907" s="5" t="str">
        <f>"6281057013470"</f>
        <v>6281057013470</v>
      </c>
      <c r="B907" s="2" t="s">
        <v>2947</v>
      </c>
      <c r="C907" s="2" t="s">
        <v>2948</v>
      </c>
      <c r="D907" s="5" t="s">
        <v>15</v>
      </c>
      <c r="E907" s="5" t="s">
        <v>16</v>
      </c>
      <c r="F907" s="5" t="s">
        <v>17</v>
      </c>
      <c r="G907" s="5" t="s">
        <v>18</v>
      </c>
      <c r="H907" s="3" t="s">
        <v>44</v>
      </c>
      <c r="I907" s="3" t="s">
        <v>33</v>
      </c>
      <c r="J907" s="3" t="s">
        <v>60</v>
      </c>
      <c r="K907" s="5" t="s">
        <v>23</v>
      </c>
      <c r="L907" s="5">
        <v>2.5</v>
      </c>
      <c r="M907" s="2" t="s">
        <v>2949</v>
      </c>
    </row>
    <row r="908" spans="1:13" x14ac:dyDescent="0.25">
      <c r="A908" s="5" t="str">
        <f>"6281022183368"</f>
        <v>6281022183368</v>
      </c>
      <c r="B908" s="2" t="s">
        <v>2950</v>
      </c>
      <c r="C908" s="2" t="s">
        <v>2951</v>
      </c>
      <c r="D908" s="5" t="s">
        <v>15</v>
      </c>
      <c r="E908" s="5" t="s">
        <v>16</v>
      </c>
      <c r="F908" s="5" t="s">
        <v>17</v>
      </c>
      <c r="G908" s="5" t="s">
        <v>18</v>
      </c>
      <c r="H908" s="3"/>
      <c r="I908" s="3"/>
      <c r="J908" s="3" t="s">
        <v>2347</v>
      </c>
      <c r="K908" s="5" t="s">
        <v>23</v>
      </c>
      <c r="L908" s="5">
        <v>2</v>
      </c>
      <c r="M908" s="2" t="s">
        <v>2952</v>
      </c>
    </row>
    <row r="909" spans="1:13" x14ac:dyDescent="0.25">
      <c r="A909" s="5" t="str">
        <f>"6281039173536"</f>
        <v>6281039173536</v>
      </c>
      <c r="B909" s="2" t="s">
        <v>2953</v>
      </c>
      <c r="C909" s="2" t="s">
        <v>2954</v>
      </c>
      <c r="D909" s="5" t="s">
        <v>15</v>
      </c>
      <c r="E909" s="5" t="s">
        <v>16</v>
      </c>
      <c r="F909" s="5" t="s">
        <v>17</v>
      </c>
      <c r="G909" s="5" t="s">
        <v>18</v>
      </c>
      <c r="H909" s="3" t="s">
        <v>146</v>
      </c>
      <c r="I909" s="3"/>
      <c r="J909" s="3" t="s">
        <v>1754</v>
      </c>
      <c r="K909" s="5" t="s">
        <v>23</v>
      </c>
      <c r="L909" s="5">
        <v>39</v>
      </c>
      <c r="M909" s="2" t="s">
        <v>2955</v>
      </c>
    </row>
    <row r="910" spans="1:13" x14ac:dyDescent="0.25">
      <c r="A910" s="5" t="str">
        <f>"2144805000006"</f>
        <v>2144805000006</v>
      </c>
      <c r="B910" s="2" t="s">
        <v>2956</v>
      </c>
      <c r="C910" s="2" t="s">
        <v>2957</v>
      </c>
      <c r="D910" s="5" t="s">
        <v>15</v>
      </c>
      <c r="E910" s="5" t="s">
        <v>16</v>
      </c>
      <c r="F910" s="5" t="s">
        <v>17</v>
      </c>
      <c r="G910" s="5" t="s">
        <v>18</v>
      </c>
      <c r="H910" s="3"/>
      <c r="I910" s="3"/>
      <c r="J910" s="3"/>
      <c r="K910" s="5" t="s">
        <v>19</v>
      </c>
      <c r="L910" s="5">
        <v>49.95</v>
      </c>
      <c r="M910" s="2" t="s">
        <v>2958</v>
      </c>
    </row>
    <row r="911" spans="1:13" x14ac:dyDescent="0.25">
      <c r="A911" s="5" t="str">
        <f>"87295603"</f>
        <v>87295603</v>
      </c>
      <c r="B911" s="2" t="s">
        <v>2959</v>
      </c>
      <c r="C911" s="2" t="s">
        <v>2960</v>
      </c>
      <c r="D911" s="5" t="s">
        <v>15</v>
      </c>
      <c r="E911" s="5" t="s">
        <v>16</v>
      </c>
      <c r="F911" s="5" t="s">
        <v>17</v>
      </c>
      <c r="G911" s="5" t="s">
        <v>18</v>
      </c>
      <c r="H911" s="3" t="s">
        <v>2755</v>
      </c>
      <c r="I911" s="3" t="s">
        <v>345</v>
      </c>
      <c r="J911" s="3" t="s">
        <v>2244</v>
      </c>
      <c r="K911" s="5" t="s">
        <v>23</v>
      </c>
      <c r="L911" s="5">
        <v>4</v>
      </c>
      <c r="M911" s="2" t="s">
        <v>2961</v>
      </c>
    </row>
    <row r="912" spans="1:13" x14ac:dyDescent="0.25">
      <c r="A912" s="5" t="str">
        <f>"6281018316299"</f>
        <v>6281018316299</v>
      </c>
      <c r="B912" s="2" t="s">
        <v>2962</v>
      </c>
      <c r="C912" s="2" t="s">
        <v>2963</v>
      </c>
      <c r="D912" s="5" t="s">
        <v>15</v>
      </c>
      <c r="E912" s="5" t="s">
        <v>16</v>
      </c>
      <c r="F912" s="5" t="s">
        <v>17</v>
      </c>
      <c r="G912" s="5" t="s">
        <v>18</v>
      </c>
      <c r="H912" s="3" t="s">
        <v>67</v>
      </c>
      <c r="I912" s="3" t="s">
        <v>723</v>
      </c>
      <c r="J912" s="3" t="s">
        <v>2261</v>
      </c>
      <c r="K912" s="5" t="s">
        <v>23</v>
      </c>
      <c r="L912" s="5">
        <v>1.25</v>
      </c>
      <c r="M912" s="2" t="s">
        <v>2964</v>
      </c>
    </row>
    <row r="913" spans="1:13" x14ac:dyDescent="0.25">
      <c r="A913" s="5" t="str">
        <f>"3073780574242"</f>
        <v>3073780574242</v>
      </c>
      <c r="B913" s="2" t="s">
        <v>2965</v>
      </c>
      <c r="C913" s="2" t="s">
        <v>2966</v>
      </c>
      <c r="D913" s="5" t="s">
        <v>15</v>
      </c>
      <c r="E913" s="5" t="s">
        <v>16</v>
      </c>
      <c r="F913" s="5" t="s">
        <v>17</v>
      </c>
      <c r="G913" s="5" t="s">
        <v>18</v>
      </c>
      <c r="H913" s="3" t="s">
        <v>425</v>
      </c>
      <c r="I913" s="3" t="s">
        <v>426</v>
      </c>
      <c r="J913" s="3" t="s">
        <v>1409</v>
      </c>
      <c r="K913" s="5" t="s">
        <v>23</v>
      </c>
      <c r="L913" s="5">
        <v>15.95</v>
      </c>
      <c r="M913" s="2" t="s">
        <v>2967</v>
      </c>
    </row>
    <row r="914" spans="1:13" x14ac:dyDescent="0.25">
      <c r="A914" s="5" t="str">
        <f>"6281018120346"</f>
        <v>6281018120346</v>
      </c>
      <c r="B914" s="2" t="s">
        <v>2968</v>
      </c>
      <c r="C914" s="2" t="s">
        <v>2969</v>
      </c>
      <c r="D914" s="5" t="s">
        <v>15</v>
      </c>
      <c r="E914" s="5" t="s">
        <v>16</v>
      </c>
      <c r="F914" s="5" t="s">
        <v>17</v>
      </c>
      <c r="G914" s="5" t="s">
        <v>18</v>
      </c>
      <c r="H914" s="3" t="s">
        <v>67</v>
      </c>
      <c r="I914" s="3"/>
      <c r="J914" s="3"/>
      <c r="K914" s="5" t="s">
        <v>23</v>
      </c>
      <c r="L914" s="5">
        <v>3</v>
      </c>
      <c r="M914" s="2" t="s">
        <v>2970</v>
      </c>
    </row>
    <row r="915" spans="1:13" x14ac:dyDescent="0.25">
      <c r="A915" s="5" t="str">
        <f>"6281057050260"</f>
        <v>6281057050260</v>
      </c>
      <c r="B915" s="2" t="s">
        <v>2971</v>
      </c>
      <c r="C915" s="2" t="s">
        <v>2972</v>
      </c>
      <c r="D915" s="5" t="s">
        <v>15</v>
      </c>
      <c r="E915" s="5" t="s">
        <v>16</v>
      </c>
      <c r="F915" s="5" t="s">
        <v>17</v>
      </c>
      <c r="G915" s="5" t="s">
        <v>18</v>
      </c>
      <c r="H915" s="3" t="s">
        <v>44</v>
      </c>
      <c r="I915" s="3"/>
      <c r="J915" s="3" t="s">
        <v>1479</v>
      </c>
      <c r="K915" s="5" t="s">
        <v>23</v>
      </c>
      <c r="L915" s="5">
        <v>13</v>
      </c>
      <c r="M915" s="2" t="s">
        <v>2973</v>
      </c>
    </row>
    <row r="916" spans="1:13" x14ac:dyDescent="0.25">
      <c r="A916" s="5" t="str">
        <f>"6281020307131"</f>
        <v>6281020307131</v>
      </c>
      <c r="B916" s="2" t="s">
        <v>2974</v>
      </c>
      <c r="C916" s="2" t="s">
        <v>2975</v>
      </c>
      <c r="D916" s="5" t="s">
        <v>15</v>
      </c>
      <c r="E916" s="5" t="s">
        <v>16</v>
      </c>
      <c r="F916" s="5" t="s">
        <v>17</v>
      </c>
      <c r="G916" s="5" t="s">
        <v>18</v>
      </c>
      <c r="H916" s="3" t="s">
        <v>1146</v>
      </c>
      <c r="I916" s="3" t="s">
        <v>108</v>
      </c>
      <c r="J916" s="3" t="s">
        <v>385</v>
      </c>
      <c r="K916" s="5" t="s">
        <v>23</v>
      </c>
      <c r="L916" s="5">
        <v>1.5</v>
      </c>
      <c r="M916" s="2" t="s">
        <v>2976</v>
      </c>
    </row>
    <row r="917" spans="1:13" x14ac:dyDescent="0.25">
      <c r="A917" s="5" t="str">
        <f>"6281018141488"</f>
        <v>6281018141488</v>
      </c>
      <c r="B917" s="2" t="s">
        <v>2977</v>
      </c>
      <c r="C917" s="2" t="s">
        <v>2978</v>
      </c>
      <c r="D917" s="5" t="s">
        <v>15</v>
      </c>
      <c r="E917" s="5" t="s">
        <v>16</v>
      </c>
      <c r="F917" s="5" t="s">
        <v>17</v>
      </c>
      <c r="G917" s="5" t="s">
        <v>18</v>
      </c>
      <c r="H917" s="3" t="s">
        <v>67</v>
      </c>
      <c r="I917" s="3"/>
      <c r="J917" s="3" t="s">
        <v>2979</v>
      </c>
      <c r="K917" s="5" t="s">
        <v>23</v>
      </c>
      <c r="L917" s="5">
        <v>2</v>
      </c>
      <c r="M917" s="2" t="s">
        <v>2980</v>
      </c>
    </row>
    <row r="918" spans="1:13" x14ac:dyDescent="0.25">
      <c r="A918" s="5" t="str">
        <f>"5711953197666"</f>
        <v>5711953197666</v>
      </c>
      <c r="B918" s="2" t="s">
        <v>2981</v>
      </c>
      <c r="C918" s="2" t="s">
        <v>2982</v>
      </c>
      <c r="D918" s="5" t="s">
        <v>15</v>
      </c>
      <c r="E918" s="5" t="s">
        <v>16</v>
      </c>
      <c r="F918" s="5" t="s">
        <v>17</v>
      </c>
      <c r="G918" s="5" t="s">
        <v>18</v>
      </c>
      <c r="H918" s="3" t="s">
        <v>1921</v>
      </c>
      <c r="I918" s="3"/>
      <c r="J918" s="3" t="s">
        <v>238</v>
      </c>
      <c r="K918" s="5" t="s">
        <v>23</v>
      </c>
      <c r="L918" s="5">
        <v>26.95</v>
      </c>
      <c r="M918" s="2" t="s">
        <v>2983</v>
      </c>
    </row>
    <row r="919" spans="1:13" x14ac:dyDescent="0.25">
      <c r="A919" s="5" t="str">
        <f>"6281024014202"</f>
        <v>6281024014202</v>
      </c>
      <c r="B919" s="2" t="s">
        <v>2984</v>
      </c>
      <c r="C919" s="2" t="s">
        <v>2985</v>
      </c>
      <c r="D919" s="5" t="s">
        <v>15</v>
      </c>
      <c r="E919" s="5" t="s">
        <v>16</v>
      </c>
      <c r="F919" s="5" t="s">
        <v>17</v>
      </c>
      <c r="G919" s="5" t="s">
        <v>18</v>
      </c>
      <c r="H919" s="3" t="s">
        <v>979</v>
      </c>
      <c r="I919" s="3"/>
      <c r="J919" s="3"/>
      <c r="K919" s="5" t="s">
        <v>23</v>
      </c>
      <c r="L919" s="5">
        <v>17</v>
      </c>
      <c r="M919" s="2" t="s">
        <v>2986</v>
      </c>
    </row>
    <row r="920" spans="1:13" x14ac:dyDescent="0.25">
      <c r="A920" s="5" t="str">
        <f>"6281100500131"</f>
        <v>6281100500131</v>
      </c>
      <c r="B920" s="2" t="s">
        <v>2987</v>
      </c>
      <c r="C920" s="2" t="s">
        <v>2988</v>
      </c>
      <c r="D920" s="5" t="s">
        <v>15</v>
      </c>
      <c r="E920" s="5" t="s">
        <v>16</v>
      </c>
      <c r="F920" s="5" t="s">
        <v>17</v>
      </c>
      <c r="G920" s="5" t="s">
        <v>18</v>
      </c>
      <c r="H920" s="3" t="s">
        <v>466</v>
      </c>
      <c r="I920" s="3"/>
      <c r="J920" s="3"/>
      <c r="K920" s="5" t="s">
        <v>23</v>
      </c>
      <c r="L920" s="5">
        <v>44.5</v>
      </c>
      <c r="M920" s="2" t="s">
        <v>2989</v>
      </c>
    </row>
    <row r="921" spans="1:13" x14ac:dyDescent="0.25">
      <c r="A921" s="5" t="str">
        <f>"6281024010204"</f>
        <v>6281024010204</v>
      </c>
      <c r="B921" s="2" t="s">
        <v>2990</v>
      </c>
      <c r="C921" s="2" t="s">
        <v>2991</v>
      </c>
      <c r="D921" s="5" t="s">
        <v>15</v>
      </c>
      <c r="E921" s="5" t="s">
        <v>16</v>
      </c>
      <c r="F921" s="5" t="s">
        <v>17</v>
      </c>
      <c r="G921" s="5" t="s">
        <v>18</v>
      </c>
      <c r="H921" s="3" t="s">
        <v>979</v>
      </c>
      <c r="I921" s="3"/>
      <c r="J921" s="3"/>
      <c r="K921" s="5" t="s">
        <v>23</v>
      </c>
      <c r="L921" s="5">
        <v>12.5</v>
      </c>
      <c r="M921" s="2" t="s">
        <v>2992</v>
      </c>
    </row>
    <row r="922" spans="1:13" x14ac:dyDescent="0.25">
      <c r="A922" s="5" t="str">
        <f>"6281100500179"</f>
        <v>6281100500179</v>
      </c>
      <c r="B922" s="2" t="s">
        <v>2993</v>
      </c>
      <c r="C922" s="2" t="s">
        <v>2994</v>
      </c>
      <c r="D922" s="5" t="s">
        <v>15</v>
      </c>
      <c r="E922" s="5" t="s">
        <v>16</v>
      </c>
      <c r="F922" s="5" t="s">
        <v>17</v>
      </c>
      <c r="G922" s="5" t="s">
        <v>18</v>
      </c>
      <c r="H922" s="3" t="s">
        <v>466</v>
      </c>
      <c r="I922" s="3"/>
      <c r="J922" s="3"/>
      <c r="K922" s="5" t="s">
        <v>23</v>
      </c>
      <c r="L922" s="5">
        <v>13</v>
      </c>
      <c r="M922" s="2" t="s">
        <v>2995</v>
      </c>
    </row>
    <row r="923" spans="1:13" x14ac:dyDescent="0.25">
      <c r="A923" s="5" t="str">
        <f>"6281100503118"</f>
        <v>6281100503118</v>
      </c>
      <c r="B923" s="2" t="s">
        <v>2996</v>
      </c>
      <c r="C923" s="2" t="s">
        <v>2997</v>
      </c>
      <c r="D923" s="5" t="s">
        <v>15</v>
      </c>
      <c r="E923" s="5" t="s">
        <v>16</v>
      </c>
      <c r="F923" s="5" t="s">
        <v>17</v>
      </c>
      <c r="G923" s="5" t="s">
        <v>18</v>
      </c>
      <c r="H923" s="3" t="s">
        <v>466</v>
      </c>
      <c r="I923" s="3"/>
      <c r="J923" s="3"/>
      <c r="K923" s="5" t="s">
        <v>23</v>
      </c>
      <c r="L923" s="5">
        <v>43.5</v>
      </c>
      <c r="M923" s="2" t="s">
        <v>2998</v>
      </c>
    </row>
    <row r="924" spans="1:13" x14ac:dyDescent="0.25">
      <c r="A924" s="5" t="str">
        <f>"6297000670454"</f>
        <v>6297000670454</v>
      </c>
      <c r="B924" s="2" t="s">
        <v>2999</v>
      </c>
      <c r="C924" s="2" t="s">
        <v>3000</v>
      </c>
      <c r="D924" s="5" t="s">
        <v>15</v>
      </c>
      <c r="E924" s="5" t="s">
        <v>16</v>
      </c>
      <c r="F924" s="5" t="s">
        <v>17</v>
      </c>
      <c r="G924" s="5" t="s">
        <v>18</v>
      </c>
      <c r="H924" s="3" t="s">
        <v>539</v>
      </c>
      <c r="I924" s="3"/>
      <c r="J924" s="3" t="s">
        <v>510</v>
      </c>
      <c r="K924" s="5" t="s">
        <v>23</v>
      </c>
      <c r="L924" s="5">
        <v>34</v>
      </c>
      <c r="M924" s="2" t="s">
        <v>3001</v>
      </c>
    </row>
    <row r="925" spans="1:13" x14ac:dyDescent="0.25">
      <c r="A925" s="5" t="str">
        <f>"6287024860740"</f>
        <v>6287024860740</v>
      </c>
      <c r="B925" s="2" t="s">
        <v>3002</v>
      </c>
      <c r="C925" s="2" t="s">
        <v>3003</v>
      </c>
      <c r="D925" s="5" t="s">
        <v>15</v>
      </c>
      <c r="E925" s="5" t="s">
        <v>16</v>
      </c>
      <c r="F925" s="5" t="s">
        <v>17</v>
      </c>
      <c r="G925" s="5" t="s">
        <v>18</v>
      </c>
      <c r="H925" s="3"/>
      <c r="I925" s="3"/>
      <c r="J925" s="3"/>
      <c r="K925" s="5" t="s">
        <v>23</v>
      </c>
      <c r="L925" s="5">
        <v>14.95</v>
      </c>
      <c r="M925" s="2" t="s">
        <v>3004</v>
      </c>
    </row>
    <row r="926" spans="1:13" x14ac:dyDescent="0.25">
      <c r="A926" s="5" t="str">
        <f>"6281022183405"</f>
        <v>6281022183405</v>
      </c>
      <c r="B926" s="2" t="s">
        <v>3005</v>
      </c>
      <c r="C926" s="2" t="s">
        <v>3006</v>
      </c>
      <c r="D926" s="5" t="s">
        <v>15</v>
      </c>
      <c r="E926" s="5" t="s">
        <v>16</v>
      </c>
      <c r="F926" s="5" t="s">
        <v>17</v>
      </c>
      <c r="G926" s="5" t="s">
        <v>18</v>
      </c>
      <c r="H926" s="3"/>
      <c r="I926" s="3"/>
      <c r="J926" s="3" t="s">
        <v>2622</v>
      </c>
      <c r="K926" s="5" t="s">
        <v>23</v>
      </c>
      <c r="L926" s="5">
        <v>1.5</v>
      </c>
      <c r="M926" s="2" t="s">
        <v>3007</v>
      </c>
    </row>
    <row r="927" spans="1:13" x14ac:dyDescent="0.25">
      <c r="A927" s="5" t="str">
        <f>"6281022183344"</f>
        <v>6281022183344</v>
      </c>
      <c r="B927" s="2" t="s">
        <v>3008</v>
      </c>
      <c r="C927" s="2" t="s">
        <v>3009</v>
      </c>
      <c r="D927" s="5" t="s">
        <v>15</v>
      </c>
      <c r="E927" s="5" t="s">
        <v>16</v>
      </c>
      <c r="F927" s="5" t="s">
        <v>17</v>
      </c>
      <c r="G927" s="5" t="s">
        <v>18</v>
      </c>
      <c r="H927" s="3"/>
      <c r="I927" s="3"/>
      <c r="J927" s="3" t="s">
        <v>3010</v>
      </c>
      <c r="K927" s="5" t="s">
        <v>23</v>
      </c>
      <c r="L927" s="5">
        <v>2</v>
      </c>
      <c r="M927" s="2" t="s">
        <v>3011</v>
      </c>
    </row>
    <row r="928" spans="1:13" x14ac:dyDescent="0.25">
      <c r="A928" s="5" t="str">
        <f>"6281007042413"</f>
        <v>6281007042413</v>
      </c>
      <c r="B928" s="2" t="s">
        <v>3012</v>
      </c>
      <c r="C928" s="2" t="s">
        <v>3013</v>
      </c>
      <c r="D928" s="5" t="s">
        <v>15</v>
      </c>
      <c r="E928" s="5" t="s">
        <v>16</v>
      </c>
      <c r="F928" s="5" t="s">
        <v>17</v>
      </c>
      <c r="G928" s="5" t="s">
        <v>18</v>
      </c>
      <c r="H928" s="3" t="s">
        <v>32</v>
      </c>
      <c r="I928" s="3"/>
      <c r="J928" s="3"/>
      <c r="K928" s="5" t="s">
        <v>23</v>
      </c>
      <c r="L928" s="5">
        <v>10.75</v>
      </c>
      <c r="M928" s="2" t="s">
        <v>3014</v>
      </c>
    </row>
    <row r="929" spans="1:13" x14ac:dyDescent="0.25">
      <c r="A929" s="5" t="str">
        <f>"6281018117681"</f>
        <v>6281018117681</v>
      </c>
      <c r="B929" s="2" t="s">
        <v>3015</v>
      </c>
      <c r="C929" s="2" t="s">
        <v>3016</v>
      </c>
      <c r="D929" s="5" t="s">
        <v>15</v>
      </c>
      <c r="E929" s="5" t="s">
        <v>16</v>
      </c>
      <c r="F929" s="5" t="s">
        <v>17</v>
      </c>
      <c r="G929" s="5" t="s">
        <v>18</v>
      </c>
      <c r="H929" s="3" t="s">
        <v>67</v>
      </c>
      <c r="I929" s="3"/>
      <c r="J929" s="3" t="s">
        <v>2347</v>
      </c>
      <c r="K929" s="5" t="s">
        <v>23</v>
      </c>
      <c r="L929" s="5">
        <v>2</v>
      </c>
      <c r="M929" s="2" t="s">
        <v>3017</v>
      </c>
    </row>
    <row r="930" spans="1:13" x14ac:dyDescent="0.25">
      <c r="A930" s="5" t="str">
        <f>"6281026121090"</f>
        <v>6281026121090</v>
      </c>
      <c r="B930" s="2" t="s">
        <v>3018</v>
      </c>
      <c r="C930" s="2" t="s">
        <v>3019</v>
      </c>
      <c r="D930" s="5" t="s">
        <v>15</v>
      </c>
      <c r="E930" s="5" t="s">
        <v>16</v>
      </c>
      <c r="F930" s="5" t="s">
        <v>17</v>
      </c>
      <c r="G930" s="5" t="s">
        <v>18</v>
      </c>
      <c r="H930" s="3" t="s">
        <v>1041</v>
      </c>
      <c r="I930" s="3"/>
      <c r="J930" s="3" t="s">
        <v>2347</v>
      </c>
      <c r="K930" s="5" t="s">
        <v>23</v>
      </c>
      <c r="L930" s="5">
        <v>2</v>
      </c>
      <c r="M930" s="2" t="s">
        <v>3020</v>
      </c>
    </row>
    <row r="931" spans="1:13" x14ac:dyDescent="0.25">
      <c r="A931" s="5" t="str">
        <f>"6281020173033"</f>
        <v>6281020173033</v>
      </c>
      <c r="B931" s="2" t="s">
        <v>3021</v>
      </c>
      <c r="C931" s="2" t="s">
        <v>3022</v>
      </c>
      <c r="D931" s="5" t="s">
        <v>15</v>
      </c>
      <c r="E931" s="5" t="s">
        <v>16</v>
      </c>
      <c r="F931" s="5" t="s">
        <v>17</v>
      </c>
      <c r="G931" s="5" t="s">
        <v>18</v>
      </c>
      <c r="H931" s="3" t="s">
        <v>1146</v>
      </c>
      <c r="I931" s="3"/>
      <c r="J931" s="3"/>
      <c r="K931" s="5" t="s">
        <v>23</v>
      </c>
      <c r="L931" s="5">
        <v>5.5</v>
      </c>
      <c r="M931" s="2" t="s">
        <v>3023</v>
      </c>
    </row>
    <row r="932" spans="1:13" x14ac:dyDescent="0.25">
      <c r="A932" s="5" t="str">
        <f>"6281026121601"</f>
        <v>6281026121601</v>
      </c>
      <c r="B932" s="2" t="s">
        <v>3024</v>
      </c>
      <c r="C932" s="2" t="s">
        <v>3025</v>
      </c>
      <c r="D932" s="5" t="s">
        <v>15</v>
      </c>
      <c r="E932" s="5" t="s">
        <v>16</v>
      </c>
      <c r="F932" s="5" t="s">
        <v>17</v>
      </c>
      <c r="G932" s="5" t="s">
        <v>18</v>
      </c>
      <c r="H932" s="3" t="s">
        <v>1041</v>
      </c>
      <c r="I932" s="3"/>
      <c r="J932" s="3" t="s">
        <v>2261</v>
      </c>
      <c r="K932" s="5" t="s">
        <v>23</v>
      </c>
      <c r="L932" s="5">
        <v>1.25</v>
      </c>
      <c r="M932" s="2" t="s">
        <v>3026</v>
      </c>
    </row>
    <row r="933" spans="1:13" x14ac:dyDescent="0.25">
      <c r="A933" s="5" t="str">
        <f>"6281018119883"</f>
        <v>6281018119883</v>
      </c>
      <c r="B933" s="2" t="s">
        <v>3027</v>
      </c>
      <c r="C933" s="2" t="s">
        <v>3028</v>
      </c>
      <c r="D933" s="5" t="s">
        <v>15</v>
      </c>
      <c r="E933" s="5" t="s">
        <v>16</v>
      </c>
      <c r="F933" s="5" t="s">
        <v>17</v>
      </c>
      <c r="G933" s="5" t="s">
        <v>18</v>
      </c>
      <c r="H933" s="3" t="s">
        <v>67</v>
      </c>
      <c r="I933" s="3"/>
      <c r="J933" s="3"/>
      <c r="K933" s="5" t="s">
        <v>23</v>
      </c>
      <c r="L933" s="5">
        <v>2</v>
      </c>
      <c r="M933" s="2" t="s">
        <v>3029</v>
      </c>
    </row>
    <row r="934" spans="1:13" x14ac:dyDescent="0.25">
      <c r="A934" s="5" t="str">
        <f>"4100290056209"</f>
        <v>4100290056209</v>
      </c>
      <c r="B934" s="2" t="s">
        <v>3030</v>
      </c>
      <c r="C934" s="2" t="s">
        <v>3031</v>
      </c>
      <c r="D934" s="5" t="s">
        <v>15</v>
      </c>
      <c r="E934" s="5" t="s">
        <v>16</v>
      </c>
      <c r="F934" s="5" t="s">
        <v>17</v>
      </c>
      <c r="G934" s="5" t="s">
        <v>18</v>
      </c>
      <c r="H934" s="3" t="s">
        <v>1431</v>
      </c>
      <c r="I934" s="3"/>
      <c r="J934" s="3"/>
      <c r="K934" s="5" t="s">
        <v>23</v>
      </c>
      <c r="L934" s="5">
        <v>7.95</v>
      </c>
      <c r="M934" s="2" t="s">
        <v>3032</v>
      </c>
    </row>
    <row r="935" spans="1:13" x14ac:dyDescent="0.25">
      <c r="A935" s="5" t="str">
        <f>"6281057007608"</f>
        <v>6281057007608</v>
      </c>
      <c r="B935" s="2" t="s">
        <v>3033</v>
      </c>
      <c r="C935" s="2" t="s">
        <v>3034</v>
      </c>
      <c r="D935" s="5" t="s">
        <v>15</v>
      </c>
      <c r="E935" s="5" t="s">
        <v>16</v>
      </c>
      <c r="F935" s="5" t="s">
        <v>17</v>
      </c>
      <c r="G935" s="5" t="s">
        <v>18</v>
      </c>
      <c r="H935" s="3" t="s">
        <v>44</v>
      </c>
      <c r="I935" s="3"/>
      <c r="J935" s="3" t="s">
        <v>2347</v>
      </c>
      <c r="K935" s="5" t="s">
        <v>23</v>
      </c>
      <c r="L935" s="5">
        <v>2</v>
      </c>
      <c r="M935" s="2" t="s">
        <v>3035</v>
      </c>
    </row>
    <row r="936" spans="1:13" x14ac:dyDescent="0.25">
      <c r="A936" s="5" t="str">
        <f>"6281021502108"</f>
        <v>6281021502108</v>
      </c>
      <c r="B936" s="2" t="s">
        <v>3036</v>
      </c>
      <c r="C936" s="2" t="s">
        <v>3037</v>
      </c>
      <c r="D936" s="5" t="s">
        <v>15</v>
      </c>
      <c r="E936" s="5" t="s">
        <v>16</v>
      </c>
      <c r="F936" s="5" t="s">
        <v>17</v>
      </c>
      <c r="G936" s="5" t="s">
        <v>18</v>
      </c>
      <c r="H936" s="3" t="s">
        <v>1939</v>
      </c>
      <c r="I936" s="3"/>
      <c r="J936" s="3"/>
      <c r="K936" s="5" t="s">
        <v>23</v>
      </c>
      <c r="L936" s="5">
        <v>1.5</v>
      </c>
      <c r="M936" s="2" t="s">
        <v>3038</v>
      </c>
    </row>
    <row r="937" spans="1:13" x14ac:dyDescent="0.25">
      <c r="A937" s="5" t="str">
        <f>"6281022183351"</f>
        <v>6281022183351</v>
      </c>
      <c r="B937" s="2" t="s">
        <v>3039</v>
      </c>
      <c r="C937" s="2" t="s">
        <v>3040</v>
      </c>
      <c r="D937" s="5" t="s">
        <v>15</v>
      </c>
      <c r="E937" s="5" t="s">
        <v>16</v>
      </c>
      <c r="F937" s="5" t="s">
        <v>17</v>
      </c>
      <c r="G937" s="5" t="s">
        <v>18</v>
      </c>
      <c r="H937" s="3"/>
      <c r="I937" s="3"/>
      <c r="J937" s="3" t="s">
        <v>2347</v>
      </c>
      <c r="K937" s="5" t="s">
        <v>23</v>
      </c>
      <c r="L937" s="5">
        <v>2</v>
      </c>
      <c r="M937" s="2" t="s">
        <v>3041</v>
      </c>
    </row>
    <row r="938" spans="1:13" x14ac:dyDescent="0.25">
      <c r="A938" s="5" t="str">
        <f>"6281055003114"</f>
        <v>6281055003114</v>
      </c>
      <c r="B938" s="2" t="s">
        <v>3042</v>
      </c>
      <c r="C938" s="2" t="s">
        <v>3043</v>
      </c>
      <c r="D938" s="5" t="s">
        <v>15</v>
      </c>
      <c r="E938" s="5" t="s">
        <v>16</v>
      </c>
      <c r="F938" s="5" t="s">
        <v>17</v>
      </c>
      <c r="G938" s="5" t="s">
        <v>18</v>
      </c>
      <c r="H938" s="3" t="s">
        <v>3044</v>
      </c>
      <c r="I938" s="3"/>
      <c r="J938" s="3" t="s">
        <v>2488</v>
      </c>
      <c r="K938" s="5" t="s">
        <v>23</v>
      </c>
      <c r="L938" s="5">
        <v>3</v>
      </c>
      <c r="M938" s="2" t="s">
        <v>3045</v>
      </c>
    </row>
    <row r="939" spans="1:13" x14ac:dyDescent="0.25">
      <c r="A939" s="5" t="str">
        <f>"6281039174410"</f>
        <v>6281039174410</v>
      </c>
      <c r="B939" s="2" t="s">
        <v>3046</v>
      </c>
      <c r="C939" s="2" t="s">
        <v>3047</v>
      </c>
      <c r="D939" s="5" t="s">
        <v>15</v>
      </c>
      <c r="E939" s="5" t="s">
        <v>16</v>
      </c>
      <c r="F939" s="5" t="s">
        <v>17</v>
      </c>
      <c r="G939" s="5" t="s">
        <v>18</v>
      </c>
      <c r="H939" s="3" t="s">
        <v>146</v>
      </c>
      <c r="I939" s="3"/>
      <c r="J939" s="3" t="s">
        <v>385</v>
      </c>
      <c r="K939" s="5" t="s">
        <v>23</v>
      </c>
      <c r="L939" s="5">
        <v>2</v>
      </c>
      <c r="M939" s="2" t="s">
        <v>3048</v>
      </c>
    </row>
    <row r="940" spans="1:13" x14ac:dyDescent="0.25">
      <c r="A940" s="5" t="str">
        <f>"6281022117387"</f>
        <v>6281022117387</v>
      </c>
      <c r="B940" s="2" t="s">
        <v>3049</v>
      </c>
      <c r="C940" s="2" t="s">
        <v>3050</v>
      </c>
      <c r="D940" s="5" t="s">
        <v>15</v>
      </c>
      <c r="E940" s="5" t="s">
        <v>16</v>
      </c>
      <c r="F940" s="5" t="s">
        <v>17</v>
      </c>
      <c r="G940" s="5" t="s">
        <v>18</v>
      </c>
      <c r="H940" s="3" t="s">
        <v>59</v>
      </c>
      <c r="I940" s="3" t="s">
        <v>33</v>
      </c>
      <c r="J940" s="3" t="s">
        <v>130</v>
      </c>
      <c r="K940" s="5" t="s">
        <v>23</v>
      </c>
      <c r="L940" s="5">
        <v>4</v>
      </c>
      <c r="M940" s="2" t="s">
        <v>3051</v>
      </c>
    </row>
    <row r="941" spans="1:13" x14ac:dyDescent="0.25">
      <c r="A941" s="5" t="str">
        <f>"6297001083536"</f>
        <v>6297001083536</v>
      </c>
      <c r="B941" s="2" t="s">
        <v>3052</v>
      </c>
      <c r="C941" s="2" t="s">
        <v>3053</v>
      </c>
      <c r="D941" s="5" t="s">
        <v>15</v>
      </c>
      <c r="E941" s="5" t="s">
        <v>16</v>
      </c>
      <c r="F941" s="5" t="s">
        <v>17</v>
      </c>
      <c r="G941" s="5" t="s">
        <v>18</v>
      </c>
      <c r="H941" s="3" t="s">
        <v>539</v>
      </c>
      <c r="I941" s="3"/>
      <c r="J941" s="3" t="s">
        <v>510</v>
      </c>
      <c r="K941" s="5" t="s">
        <v>23</v>
      </c>
      <c r="L941" s="5">
        <v>32</v>
      </c>
      <c r="M941" s="2" t="s">
        <v>3054</v>
      </c>
    </row>
    <row r="942" spans="1:13" x14ac:dyDescent="0.25">
      <c r="A942" s="5" t="str">
        <f>"6281007062275"</f>
        <v>6281007062275</v>
      </c>
      <c r="B942" s="2" t="s">
        <v>3055</v>
      </c>
      <c r="C942" s="2" t="s">
        <v>3056</v>
      </c>
      <c r="D942" s="5" t="s">
        <v>15</v>
      </c>
      <c r="E942" s="5" t="s">
        <v>16</v>
      </c>
      <c r="F942" s="5" t="s">
        <v>17</v>
      </c>
      <c r="G942" s="5" t="s">
        <v>18</v>
      </c>
      <c r="H942" s="3" t="s">
        <v>32</v>
      </c>
      <c r="I942" s="3" t="s">
        <v>33</v>
      </c>
      <c r="J942" s="3" t="s">
        <v>3057</v>
      </c>
      <c r="K942" s="5" t="s">
        <v>23</v>
      </c>
      <c r="L942" s="5">
        <v>9.25</v>
      </c>
      <c r="M942" s="2" t="s">
        <v>3058</v>
      </c>
    </row>
    <row r="943" spans="1:13" x14ac:dyDescent="0.25">
      <c r="A943" s="5" t="str">
        <f>"6281039121117"</f>
        <v>6281039121117</v>
      </c>
      <c r="B943" s="2" t="s">
        <v>3059</v>
      </c>
      <c r="C943" s="2" t="s">
        <v>3060</v>
      </c>
      <c r="D943" s="5" t="s">
        <v>15</v>
      </c>
      <c r="E943" s="5" t="s">
        <v>16</v>
      </c>
      <c r="F943" s="5" t="s">
        <v>17</v>
      </c>
      <c r="G943" s="5" t="s">
        <v>18</v>
      </c>
      <c r="H943" s="3" t="s">
        <v>146</v>
      </c>
      <c r="I943" s="3" t="s">
        <v>33</v>
      </c>
      <c r="J943" s="3" t="s">
        <v>238</v>
      </c>
      <c r="K943" s="5" t="s">
        <v>23</v>
      </c>
      <c r="L943" s="5">
        <v>13.5</v>
      </c>
      <c r="M943" s="2" t="s">
        <v>3061</v>
      </c>
    </row>
    <row r="944" spans="1:13" x14ac:dyDescent="0.25">
      <c r="A944" s="5" t="str">
        <f>"6281057012855"</f>
        <v>6281057012855</v>
      </c>
      <c r="B944" s="2" t="s">
        <v>3062</v>
      </c>
      <c r="C944" s="2" t="s">
        <v>3063</v>
      </c>
      <c r="D944" s="5" t="s">
        <v>15</v>
      </c>
      <c r="E944" s="5" t="s">
        <v>16</v>
      </c>
      <c r="F944" s="5" t="s">
        <v>17</v>
      </c>
      <c r="G944" s="5" t="s">
        <v>18</v>
      </c>
      <c r="H944" s="3" t="s">
        <v>44</v>
      </c>
      <c r="I944" s="3"/>
      <c r="J944" s="3"/>
      <c r="K944" s="5" t="s">
        <v>23</v>
      </c>
      <c r="L944" s="5">
        <v>5.5</v>
      </c>
      <c r="M944" s="2" t="s">
        <v>3064</v>
      </c>
    </row>
    <row r="945" spans="1:13" x14ac:dyDescent="0.25">
      <c r="A945" s="5" t="str">
        <f>"6281057010004"</f>
        <v>6281057010004</v>
      </c>
      <c r="B945" s="2" t="s">
        <v>3065</v>
      </c>
      <c r="C945" s="2" t="s">
        <v>3066</v>
      </c>
      <c r="D945" s="5" t="s">
        <v>15</v>
      </c>
      <c r="E945" s="5" t="s">
        <v>16</v>
      </c>
      <c r="F945" s="5" t="s">
        <v>17</v>
      </c>
      <c r="G945" s="5" t="s">
        <v>18</v>
      </c>
      <c r="H945" s="3" t="s">
        <v>44</v>
      </c>
      <c r="I945" s="3"/>
      <c r="J945" s="3"/>
      <c r="K945" s="5" t="s">
        <v>23</v>
      </c>
      <c r="L945" s="5">
        <v>2</v>
      </c>
      <c r="M945" s="2" t="s">
        <v>3067</v>
      </c>
    </row>
    <row r="946" spans="1:13" x14ac:dyDescent="0.25">
      <c r="A946" s="5" t="str">
        <f>"6281022110371"</f>
        <v>6281022110371</v>
      </c>
      <c r="B946" s="2" t="s">
        <v>3068</v>
      </c>
      <c r="C946" s="2" t="s">
        <v>3069</v>
      </c>
      <c r="D946" s="5" t="s">
        <v>15</v>
      </c>
      <c r="E946" s="5" t="s">
        <v>16</v>
      </c>
      <c r="F946" s="5" t="s">
        <v>17</v>
      </c>
      <c r="G946" s="5" t="s">
        <v>18</v>
      </c>
      <c r="H946" s="3"/>
      <c r="I946" s="3"/>
      <c r="J946" s="3"/>
      <c r="K946" s="5" t="s">
        <v>23</v>
      </c>
      <c r="L946" s="5">
        <v>2.5</v>
      </c>
      <c r="M946" s="2" t="s">
        <v>3070</v>
      </c>
    </row>
    <row r="947" spans="1:13" x14ac:dyDescent="0.25">
      <c r="A947" s="5" t="str">
        <f>"6281022120363"</f>
        <v>6281022120363</v>
      </c>
      <c r="B947" s="2" t="s">
        <v>3071</v>
      </c>
      <c r="C947" s="2" t="s">
        <v>3072</v>
      </c>
      <c r="D947" s="5" t="s">
        <v>15</v>
      </c>
      <c r="E947" s="5" t="s">
        <v>16</v>
      </c>
      <c r="F947" s="5" t="s">
        <v>17</v>
      </c>
      <c r="G947" s="5" t="s">
        <v>18</v>
      </c>
      <c r="H947" s="3"/>
      <c r="I947" s="3"/>
      <c r="J947" s="3"/>
      <c r="K947" s="5" t="s">
        <v>23</v>
      </c>
      <c r="L947" s="5">
        <v>2.5</v>
      </c>
      <c r="M947" s="2" t="s">
        <v>3073</v>
      </c>
    </row>
    <row r="948" spans="1:13" x14ac:dyDescent="0.25">
      <c r="A948" s="5" t="str">
        <f>"6281007032568"</f>
        <v>6281007032568</v>
      </c>
      <c r="B948" s="2" t="s">
        <v>3074</v>
      </c>
      <c r="C948" s="2" t="s">
        <v>3075</v>
      </c>
      <c r="D948" s="5" t="s">
        <v>15</v>
      </c>
      <c r="E948" s="5" t="s">
        <v>16</v>
      </c>
      <c r="F948" s="5" t="s">
        <v>17</v>
      </c>
      <c r="G948" s="5" t="s">
        <v>18</v>
      </c>
      <c r="H948" s="3" t="s">
        <v>32</v>
      </c>
      <c r="I948" s="3"/>
      <c r="J948" s="3"/>
      <c r="K948" s="5" t="s">
        <v>23</v>
      </c>
      <c r="L948" s="5">
        <v>2</v>
      </c>
      <c r="M948" s="2" t="s">
        <v>3076</v>
      </c>
    </row>
    <row r="949" spans="1:13" x14ac:dyDescent="0.25">
      <c r="A949" s="5" t="str">
        <f>"6281057002924"</f>
        <v>6281057002924</v>
      </c>
      <c r="B949" s="2" t="s">
        <v>3077</v>
      </c>
      <c r="C949" s="2" t="s">
        <v>3078</v>
      </c>
      <c r="D949" s="5" t="s">
        <v>15</v>
      </c>
      <c r="E949" s="5" t="s">
        <v>16</v>
      </c>
      <c r="F949" s="5" t="s">
        <v>17</v>
      </c>
      <c r="G949" s="5" t="s">
        <v>18</v>
      </c>
      <c r="H949" s="3" t="s">
        <v>44</v>
      </c>
      <c r="I949" s="3"/>
      <c r="J949" s="3"/>
      <c r="K949" s="5" t="s">
        <v>23</v>
      </c>
      <c r="L949" s="5">
        <v>14.95</v>
      </c>
      <c r="M949" s="2" t="s">
        <v>3079</v>
      </c>
    </row>
    <row r="950" spans="1:13" x14ac:dyDescent="0.25">
      <c r="A950" s="5" t="str">
        <f>"6223000754597"</f>
        <v>6223000754597</v>
      </c>
      <c r="B950" s="2" t="s">
        <v>3080</v>
      </c>
      <c r="C950" s="2" t="s">
        <v>3081</v>
      </c>
      <c r="D950" s="5" t="s">
        <v>15</v>
      </c>
      <c r="E950" s="5" t="s">
        <v>16</v>
      </c>
      <c r="F950" s="5" t="s">
        <v>17</v>
      </c>
      <c r="G950" s="5" t="s">
        <v>18</v>
      </c>
      <c r="H950" s="3"/>
      <c r="I950" s="3"/>
      <c r="J950" s="3" t="s">
        <v>375</v>
      </c>
      <c r="K950" s="5" t="s">
        <v>23</v>
      </c>
      <c r="L950" s="5">
        <v>3.25</v>
      </c>
      <c r="M950" s="2" t="s">
        <v>3082</v>
      </c>
    </row>
    <row r="951" spans="1:13" x14ac:dyDescent="0.25">
      <c r="A951" s="5" t="str">
        <f>"6281018292357"</f>
        <v>6281018292357</v>
      </c>
      <c r="B951" s="2" t="s">
        <v>3083</v>
      </c>
      <c r="C951" s="2" t="s">
        <v>3084</v>
      </c>
      <c r="D951" s="5" t="s">
        <v>15</v>
      </c>
      <c r="E951" s="5" t="s">
        <v>16</v>
      </c>
      <c r="F951" s="5" t="s">
        <v>17</v>
      </c>
      <c r="G951" s="5" t="s">
        <v>18</v>
      </c>
      <c r="H951" s="3" t="s">
        <v>67</v>
      </c>
      <c r="I951" s="3"/>
      <c r="J951" s="3"/>
      <c r="K951" s="5" t="s">
        <v>23</v>
      </c>
      <c r="L951" s="5">
        <v>12</v>
      </c>
      <c r="M951" s="2" t="s">
        <v>3085</v>
      </c>
    </row>
    <row r="952" spans="1:13" x14ac:dyDescent="0.25">
      <c r="A952" s="5" t="str">
        <f>"5411188140887"</f>
        <v>5411188140887</v>
      </c>
      <c r="B952" s="2" t="s">
        <v>3086</v>
      </c>
      <c r="C952" s="2" t="s">
        <v>3087</v>
      </c>
      <c r="D952" s="5" t="s">
        <v>15</v>
      </c>
      <c r="E952" s="5" t="s">
        <v>16</v>
      </c>
      <c r="F952" s="5" t="s">
        <v>17</v>
      </c>
      <c r="G952" s="5" t="s">
        <v>18</v>
      </c>
      <c r="H952" s="3" t="s">
        <v>59</v>
      </c>
      <c r="I952" s="3"/>
      <c r="J952" s="3" t="s">
        <v>1967</v>
      </c>
      <c r="K952" s="5" t="s">
        <v>23</v>
      </c>
      <c r="L952" s="5">
        <v>26.95</v>
      </c>
      <c r="M952" s="2" t="s">
        <v>3088</v>
      </c>
    </row>
    <row r="953" spans="1:13" x14ac:dyDescent="0.25">
      <c r="A953" s="5" t="str">
        <f>"6281057007028"</f>
        <v>6281057007028</v>
      </c>
      <c r="B953" s="2" t="s">
        <v>3089</v>
      </c>
      <c r="C953" s="2" t="s">
        <v>3090</v>
      </c>
      <c r="D953" s="5" t="s">
        <v>15</v>
      </c>
      <c r="E953" s="5" t="s">
        <v>16</v>
      </c>
      <c r="F953" s="5" t="s">
        <v>17</v>
      </c>
      <c r="G953" s="5" t="s">
        <v>18</v>
      </c>
      <c r="H953" s="3" t="s">
        <v>44</v>
      </c>
      <c r="I953" s="3"/>
      <c r="J953" s="3"/>
      <c r="K953" s="5" t="s">
        <v>23</v>
      </c>
      <c r="L953" s="5">
        <v>1.25</v>
      </c>
      <c r="M953" s="2" t="s">
        <v>3091</v>
      </c>
    </row>
    <row r="954" spans="1:13" x14ac:dyDescent="0.25">
      <c r="A954" s="5" t="str">
        <f>"6281007023535"</f>
        <v>6281007023535</v>
      </c>
      <c r="B954" s="2" t="s">
        <v>3092</v>
      </c>
      <c r="C954" s="2" t="s">
        <v>3093</v>
      </c>
      <c r="D954" s="5" t="s">
        <v>15</v>
      </c>
      <c r="E954" s="5" t="s">
        <v>16</v>
      </c>
      <c r="F954" s="5" t="s">
        <v>17</v>
      </c>
      <c r="G954" s="5" t="s">
        <v>18</v>
      </c>
      <c r="H954" s="3" t="s">
        <v>32</v>
      </c>
      <c r="I954" s="3"/>
      <c r="J954" s="3"/>
      <c r="K954" s="5" t="s">
        <v>23</v>
      </c>
      <c r="L954" s="5">
        <v>2</v>
      </c>
      <c r="M954" s="2" t="s">
        <v>3094</v>
      </c>
    </row>
    <row r="955" spans="1:13" x14ac:dyDescent="0.25">
      <c r="A955" s="5" t="str">
        <f>"6281022124019"</f>
        <v>6281022124019</v>
      </c>
      <c r="B955" s="2" t="s">
        <v>3095</v>
      </c>
      <c r="C955" s="2" t="s">
        <v>3096</v>
      </c>
      <c r="D955" s="5" t="s">
        <v>15</v>
      </c>
      <c r="E955" s="5" t="s">
        <v>16</v>
      </c>
      <c r="F955" s="5" t="s">
        <v>17</v>
      </c>
      <c r="G955" s="5" t="s">
        <v>18</v>
      </c>
      <c r="H955" s="3" t="s">
        <v>2403</v>
      </c>
      <c r="I955" s="3"/>
      <c r="J955" s="3" t="s">
        <v>60</v>
      </c>
      <c r="K955" s="5" t="s">
        <v>23</v>
      </c>
      <c r="L955" s="5">
        <v>4.25</v>
      </c>
      <c r="M955" s="2" t="s">
        <v>3097</v>
      </c>
    </row>
    <row r="956" spans="1:13" x14ac:dyDescent="0.25">
      <c r="A956" s="5" t="str">
        <f>"6297000670997"</f>
        <v>6297000670997</v>
      </c>
      <c r="B956" s="2" t="s">
        <v>3098</v>
      </c>
      <c r="C956" s="2" t="s">
        <v>3099</v>
      </c>
      <c r="D956" s="5" t="s">
        <v>15</v>
      </c>
      <c r="E956" s="5" t="s">
        <v>16</v>
      </c>
      <c r="F956" s="5" t="s">
        <v>17</v>
      </c>
      <c r="G956" s="5" t="s">
        <v>18</v>
      </c>
      <c r="H956" s="3" t="s">
        <v>539</v>
      </c>
      <c r="I956" s="3"/>
      <c r="J956" s="3" t="s">
        <v>1128</v>
      </c>
      <c r="K956" s="5" t="s">
        <v>23</v>
      </c>
      <c r="L956" s="5">
        <v>9.9499999999999993</v>
      </c>
      <c r="M956" s="2" t="s">
        <v>3100</v>
      </c>
    </row>
    <row r="957" spans="1:13" x14ac:dyDescent="0.25">
      <c r="A957" s="5" t="str">
        <f>"6281022180510"</f>
        <v>6281022180510</v>
      </c>
      <c r="B957" s="2" t="s">
        <v>3101</v>
      </c>
      <c r="C957" s="2" t="s">
        <v>3102</v>
      </c>
      <c r="D957" s="5" t="s">
        <v>15</v>
      </c>
      <c r="E957" s="5" t="s">
        <v>16</v>
      </c>
      <c r="F957" s="5" t="s">
        <v>17</v>
      </c>
      <c r="G957" s="5" t="s">
        <v>18</v>
      </c>
      <c r="H957" s="3"/>
      <c r="I957" s="3" t="s">
        <v>33</v>
      </c>
      <c r="J957" s="3" t="s">
        <v>238</v>
      </c>
      <c r="K957" s="5" t="s">
        <v>23</v>
      </c>
      <c r="L957" s="5">
        <v>6.5</v>
      </c>
      <c r="M957" s="2" t="s">
        <v>3103</v>
      </c>
    </row>
    <row r="958" spans="1:13" x14ac:dyDescent="0.25">
      <c r="A958" s="5" t="str">
        <f>"6281022112863"</f>
        <v>6281022112863</v>
      </c>
      <c r="B958" s="2" t="s">
        <v>3104</v>
      </c>
      <c r="C958" s="2" t="s">
        <v>3105</v>
      </c>
      <c r="D958" s="5" t="s">
        <v>15</v>
      </c>
      <c r="E958" s="5" t="s">
        <v>16</v>
      </c>
      <c r="F958" s="5" t="s">
        <v>17</v>
      </c>
      <c r="G958" s="5" t="s">
        <v>18</v>
      </c>
      <c r="H958" s="3"/>
      <c r="I958" s="3"/>
      <c r="J958" s="3" t="s">
        <v>3106</v>
      </c>
      <c r="K958" s="5" t="s">
        <v>23</v>
      </c>
      <c r="L958" s="5">
        <v>3</v>
      </c>
      <c r="M958" s="2" t="s">
        <v>3107</v>
      </c>
    </row>
    <row r="959" spans="1:13" x14ac:dyDescent="0.25">
      <c r="A959" s="5" t="str">
        <f>"6281057015979"</f>
        <v>6281057015979</v>
      </c>
      <c r="B959" s="2" t="s">
        <v>3108</v>
      </c>
      <c r="C959" s="2" t="s">
        <v>3109</v>
      </c>
      <c r="D959" s="5" t="s">
        <v>15</v>
      </c>
      <c r="E959" s="5" t="s">
        <v>16</v>
      </c>
      <c r="F959" s="5" t="s">
        <v>17</v>
      </c>
      <c r="G959" s="5" t="s">
        <v>18</v>
      </c>
      <c r="H959" s="3" t="s">
        <v>44</v>
      </c>
      <c r="I959" s="3"/>
      <c r="J959" s="3" t="s">
        <v>354</v>
      </c>
      <c r="K959" s="5" t="s">
        <v>23</v>
      </c>
      <c r="L959" s="5">
        <v>7.95</v>
      </c>
      <c r="M959" s="2" t="s">
        <v>3110</v>
      </c>
    </row>
    <row r="960" spans="1:13" x14ac:dyDescent="0.25">
      <c r="A960" s="5" t="str">
        <f>"6223000752777"</f>
        <v>6223000752777</v>
      </c>
      <c r="B960" s="2" t="s">
        <v>3111</v>
      </c>
      <c r="C960" s="2" t="s">
        <v>3112</v>
      </c>
      <c r="D960" s="5" t="s">
        <v>15</v>
      </c>
      <c r="E960" s="5" t="s">
        <v>16</v>
      </c>
      <c r="F960" s="5" t="s">
        <v>17</v>
      </c>
      <c r="G960" s="5" t="s">
        <v>18</v>
      </c>
      <c r="H960" s="3" t="s">
        <v>3113</v>
      </c>
      <c r="I960" s="3"/>
      <c r="J960" s="3" t="s">
        <v>185</v>
      </c>
      <c r="K960" s="5" t="s">
        <v>23</v>
      </c>
      <c r="L960" s="5">
        <v>11.5</v>
      </c>
      <c r="M960" s="2" t="s">
        <v>3114</v>
      </c>
    </row>
    <row r="961" spans="1:13" x14ac:dyDescent="0.25">
      <c r="A961" s="5" t="str">
        <f>"6223000754610"</f>
        <v>6223000754610</v>
      </c>
      <c r="B961" s="2" t="s">
        <v>3115</v>
      </c>
      <c r="C961" s="2" t="s">
        <v>3116</v>
      </c>
      <c r="D961" s="5" t="s">
        <v>15</v>
      </c>
      <c r="E961" s="5" t="s">
        <v>16</v>
      </c>
      <c r="F961" s="5" t="s">
        <v>17</v>
      </c>
      <c r="G961" s="5" t="s">
        <v>18</v>
      </c>
      <c r="H961" s="3"/>
      <c r="I961" s="3"/>
      <c r="J961" s="3" t="s">
        <v>375</v>
      </c>
      <c r="K961" s="5" t="s">
        <v>23</v>
      </c>
      <c r="L961" s="5">
        <v>3.25</v>
      </c>
      <c r="M961" s="2" t="s">
        <v>3117</v>
      </c>
    </row>
    <row r="962" spans="1:13" x14ac:dyDescent="0.25">
      <c r="A962" s="5" t="str">
        <f>"6281007071147"</f>
        <v>6281007071147</v>
      </c>
      <c r="B962" s="2" t="s">
        <v>3118</v>
      </c>
      <c r="C962" s="2" t="s">
        <v>3119</v>
      </c>
      <c r="D962" s="5" t="s">
        <v>15</v>
      </c>
      <c r="E962" s="5" t="s">
        <v>16</v>
      </c>
      <c r="F962" s="5" t="s">
        <v>17</v>
      </c>
      <c r="G962" s="5" t="s">
        <v>18</v>
      </c>
      <c r="H962" s="3" t="s">
        <v>3120</v>
      </c>
      <c r="I962" s="3"/>
      <c r="J962" s="3" t="s">
        <v>3121</v>
      </c>
      <c r="K962" s="5" t="s">
        <v>23</v>
      </c>
      <c r="L962" s="5">
        <v>13.25</v>
      </c>
      <c r="M962" s="2" t="s">
        <v>3122</v>
      </c>
    </row>
    <row r="963" spans="1:13" x14ac:dyDescent="0.25">
      <c r="A963" s="5" t="str">
        <f>"6285835000737"</f>
        <v>6285835000737</v>
      </c>
      <c r="B963" s="2" t="s">
        <v>3123</v>
      </c>
      <c r="C963" s="2" t="s">
        <v>3124</v>
      </c>
      <c r="D963" s="5" t="s">
        <v>15</v>
      </c>
      <c r="E963" s="5" t="s">
        <v>16</v>
      </c>
      <c r="F963" s="5" t="s">
        <v>17</v>
      </c>
      <c r="G963" s="5" t="s">
        <v>18</v>
      </c>
      <c r="H963" s="3" t="s">
        <v>1921</v>
      </c>
      <c r="I963" s="3"/>
      <c r="J963" s="3" t="s">
        <v>2729</v>
      </c>
      <c r="K963" s="5" t="s">
        <v>23</v>
      </c>
      <c r="L963" s="5">
        <v>3.45</v>
      </c>
      <c r="M963" s="2" t="s">
        <v>3125</v>
      </c>
    </row>
    <row r="964" spans="1:13" x14ac:dyDescent="0.25">
      <c r="A964" s="5" t="str">
        <f>"6281020321632"</f>
        <v>6281020321632</v>
      </c>
      <c r="B964" s="2" t="s">
        <v>3126</v>
      </c>
      <c r="C964" s="2" t="s">
        <v>3127</v>
      </c>
      <c r="D964" s="5" t="s">
        <v>15</v>
      </c>
      <c r="E964" s="5" t="s">
        <v>16</v>
      </c>
      <c r="F964" s="5" t="s">
        <v>17</v>
      </c>
      <c r="G964" s="5" t="s">
        <v>18</v>
      </c>
      <c r="H964" s="3" t="s">
        <v>1146</v>
      </c>
      <c r="I964" s="3" t="s">
        <v>108</v>
      </c>
      <c r="J964" s="3" t="s">
        <v>385</v>
      </c>
      <c r="K964" s="5" t="s">
        <v>23</v>
      </c>
      <c r="L964" s="5">
        <v>1.5</v>
      </c>
      <c r="M964" s="2" t="s">
        <v>3128</v>
      </c>
    </row>
    <row r="965" spans="1:13" x14ac:dyDescent="0.25">
      <c r="A965" s="5" t="str">
        <f>"6223000750797"</f>
        <v>6223000750797</v>
      </c>
      <c r="B965" s="2" t="s">
        <v>3129</v>
      </c>
      <c r="C965" s="2" t="s">
        <v>3130</v>
      </c>
      <c r="D965" s="5" t="s">
        <v>15</v>
      </c>
      <c r="E965" s="5" t="s">
        <v>16</v>
      </c>
      <c r="F965" s="5" t="s">
        <v>17</v>
      </c>
      <c r="G965" s="5" t="s">
        <v>18</v>
      </c>
      <c r="H965" s="3" t="s">
        <v>3113</v>
      </c>
      <c r="I965" s="3"/>
      <c r="J965" s="3" t="s">
        <v>185</v>
      </c>
      <c r="K965" s="5" t="s">
        <v>23</v>
      </c>
      <c r="L965" s="5">
        <v>11.5</v>
      </c>
      <c r="M965" s="2" t="s">
        <v>3131</v>
      </c>
    </row>
    <row r="966" spans="1:13" x14ac:dyDescent="0.25">
      <c r="A966" s="5" t="str">
        <f>"6281022120370"</f>
        <v>6281022120370</v>
      </c>
      <c r="B966" s="2" t="s">
        <v>3132</v>
      </c>
      <c r="C966" s="2" t="s">
        <v>3133</v>
      </c>
      <c r="D966" s="5" t="s">
        <v>15</v>
      </c>
      <c r="E966" s="5" t="s">
        <v>16</v>
      </c>
      <c r="F966" s="5" t="s">
        <v>17</v>
      </c>
      <c r="G966" s="5" t="s">
        <v>18</v>
      </c>
      <c r="H966" s="3"/>
      <c r="I966" s="3"/>
      <c r="J966" s="3" t="s">
        <v>60</v>
      </c>
      <c r="K966" s="5" t="s">
        <v>23</v>
      </c>
      <c r="L966" s="5">
        <v>2</v>
      </c>
      <c r="M966" s="2" t="s">
        <v>3134</v>
      </c>
    </row>
    <row r="967" spans="1:13" x14ac:dyDescent="0.25">
      <c r="A967" s="5" t="str">
        <f>"6281007026871"</f>
        <v>6281007026871</v>
      </c>
      <c r="B967" s="2" t="s">
        <v>3135</v>
      </c>
      <c r="C967" s="2" t="s">
        <v>3136</v>
      </c>
      <c r="D967" s="5" t="s">
        <v>15</v>
      </c>
      <c r="E967" s="5" t="s">
        <v>16</v>
      </c>
      <c r="F967" s="5" t="s">
        <v>17</v>
      </c>
      <c r="G967" s="5" t="s">
        <v>18</v>
      </c>
      <c r="H967" s="3" t="s">
        <v>32</v>
      </c>
      <c r="I967" s="3" t="s">
        <v>33</v>
      </c>
      <c r="J967" s="3" t="s">
        <v>109</v>
      </c>
      <c r="K967" s="5" t="s">
        <v>23</v>
      </c>
      <c r="L967" s="5">
        <v>15.5</v>
      </c>
      <c r="M967" s="2" t="s">
        <v>3137</v>
      </c>
    </row>
    <row r="968" spans="1:13" x14ac:dyDescent="0.25">
      <c r="A968" s="5" t="str">
        <f>"2144802000009"</f>
        <v>2144802000009</v>
      </c>
      <c r="B968" s="2" t="s">
        <v>3138</v>
      </c>
      <c r="C968" s="2" t="s">
        <v>3139</v>
      </c>
      <c r="D968" s="5" t="s">
        <v>15</v>
      </c>
      <c r="E968" s="5" t="s">
        <v>16</v>
      </c>
      <c r="F968" s="5" t="s">
        <v>17</v>
      </c>
      <c r="G968" s="5" t="s">
        <v>18</v>
      </c>
      <c r="H968" s="3"/>
      <c r="I968" s="3"/>
      <c r="J968" s="3"/>
      <c r="K968" s="5" t="s">
        <v>23</v>
      </c>
      <c r="L968" s="5">
        <v>19.95</v>
      </c>
      <c r="M968" s="2" t="s">
        <v>3140</v>
      </c>
    </row>
    <row r="969" spans="1:13" x14ac:dyDescent="0.25">
      <c r="A969" s="5" t="str">
        <f>"5290036002689"</f>
        <v>5290036002689</v>
      </c>
      <c r="B969" s="2" t="s">
        <v>3141</v>
      </c>
      <c r="C969" s="2" t="s">
        <v>3142</v>
      </c>
      <c r="D969" s="5" t="s">
        <v>15</v>
      </c>
      <c r="E969" s="5" t="s">
        <v>16</v>
      </c>
      <c r="F969" s="5" t="s">
        <v>17</v>
      </c>
      <c r="G969" s="5" t="s">
        <v>18</v>
      </c>
      <c r="H969" s="3" t="s">
        <v>83</v>
      </c>
      <c r="I969" s="3"/>
      <c r="J969" s="3"/>
      <c r="K969" s="5" t="s">
        <v>23</v>
      </c>
      <c r="L969" s="5">
        <v>19.5</v>
      </c>
      <c r="M969" s="2" t="s">
        <v>3143</v>
      </c>
    </row>
    <row r="970" spans="1:13" x14ac:dyDescent="0.25">
      <c r="A970" s="5" t="str">
        <f>"6281039105513"</f>
        <v>6281039105513</v>
      </c>
      <c r="B970" s="2" t="s">
        <v>3144</v>
      </c>
      <c r="C970" s="2" t="s">
        <v>3145</v>
      </c>
      <c r="D970" s="5" t="s">
        <v>15</v>
      </c>
      <c r="E970" s="5" t="s">
        <v>16</v>
      </c>
      <c r="F970" s="5" t="s">
        <v>17</v>
      </c>
      <c r="G970" s="5" t="s">
        <v>18</v>
      </c>
      <c r="H970" s="3" t="s">
        <v>146</v>
      </c>
      <c r="I970" s="3"/>
      <c r="J970" s="3"/>
      <c r="K970" s="5" t="s">
        <v>23</v>
      </c>
      <c r="L970" s="5">
        <v>1.25</v>
      </c>
      <c r="M970" s="2" t="s">
        <v>3146</v>
      </c>
    </row>
    <row r="971" spans="1:13" x14ac:dyDescent="0.25">
      <c r="A971" s="5" t="str">
        <f>"6281022112856"</f>
        <v>6281022112856</v>
      </c>
      <c r="B971" s="2" t="s">
        <v>3147</v>
      </c>
      <c r="C971" s="2" t="s">
        <v>3148</v>
      </c>
      <c r="D971" s="5" t="s">
        <v>15</v>
      </c>
      <c r="E971" s="5" t="s">
        <v>16</v>
      </c>
      <c r="F971" s="5" t="s">
        <v>17</v>
      </c>
      <c r="G971" s="5" t="s">
        <v>18</v>
      </c>
      <c r="H971" s="3"/>
      <c r="I971" s="3"/>
      <c r="J971" s="3" t="s">
        <v>3149</v>
      </c>
      <c r="K971" s="5" t="s">
        <v>23</v>
      </c>
      <c r="L971" s="5">
        <v>3</v>
      </c>
      <c r="M971" s="2" t="s">
        <v>3150</v>
      </c>
    </row>
    <row r="972" spans="1:13" x14ac:dyDescent="0.25">
      <c r="A972" s="5" t="str">
        <f>"6287005740078"</f>
        <v>6287005740078</v>
      </c>
      <c r="B972" s="2" t="s">
        <v>3151</v>
      </c>
      <c r="C972" s="2" t="s">
        <v>3152</v>
      </c>
      <c r="D972" s="5" t="s">
        <v>15</v>
      </c>
      <c r="E972" s="5" t="s">
        <v>16</v>
      </c>
      <c r="F972" s="5" t="s">
        <v>17</v>
      </c>
      <c r="G972" s="5" t="s">
        <v>18</v>
      </c>
      <c r="H972" s="3"/>
      <c r="I972" s="3"/>
      <c r="J972" s="3" t="s">
        <v>1139</v>
      </c>
      <c r="K972" s="5" t="s">
        <v>23</v>
      </c>
      <c r="L972" s="5">
        <v>7</v>
      </c>
      <c r="M972" s="2" t="s">
        <v>3153</v>
      </c>
    </row>
    <row r="973" spans="1:13" x14ac:dyDescent="0.25">
      <c r="A973" s="5" t="str">
        <f>"6297001083567"</f>
        <v>6297001083567</v>
      </c>
      <c r="B973" s="2" t="s">
        <v>3154</v>
      </c>
      <c r="C973" s="2" t="s">
        <v>3155</v>
      </c>
      <c r="D973" s="5" t="s">
        <v>15</v>
      </c>
      <c r="E973" s="5" t="s">
        <v>16</v>
      </c>
      <c r="F973" s="5" t="s">
        <v>17</v>
      </c>
      <c r="G973" s="5" t="s">
        <v>18</v>
      </c>
      <c r="H973" s="3" t="s">
        <v>539</v>
      </c>
      <c r="I973" s="3"/>
      <c r="J973" s="3" t="s">
        <v>510</v>
      </c>
      <c r="K973" s="5" t="s">
        <v>23</v>
      </c>
      <c r="L973" s="5">
        <v>32</v>
      </c>
      <c r="M973" s="2" t="s">
        <v>3156</v>
      </c>
    </row>
    <row r="974" spans="1:13" x14ac:dyDescent="0.25">
      <c r="A974" s="5" t="str">
        <f>"5202390020407"</f>
        <v>5202390020407</v>
      </c>
      <c r="B974" s="2" t="s">
        <v>3157</v>
      </c>
      <c r="C974" s="2" t="s">
        <v>3158</v>
      </c>
      <c r="D974" s="5" t="s">
        <v>15</v>
      </c>
      <c r="E974" s="5" t="s">
        <v>16</v>
      </c>
      <c r="F974" s="5" t="s">
        <v>17</v>
      </c>
      <c r="G974" s="5" t="s">
        <v>18</v>
      </c>
      <c r="H974" s="3"/>
      <c r="I974" s="3" t="s">
        <v>2219</v>
      </c>
      <c r="J974" s="3" t="s">
        <v>812</v>
      </c>
      <c r="K974" s="5" t="s">
        <v>23</v>
      </c>
      <c r="L974" s="5">
        <v>21.5</v>
      </c>
      <c r="M974" s="2" t="s">
        <v>3159</v>
      </c>
    </row>
    <row r="975" spans="1:13" x14ac:dyDescent="0.25">
      <c r="A975" s="5" t="str">
        <f>"6297000670447"</f>
        <v>6297000670447</v>
      </c>
      <c r="B975" s="2" t="s">
        <v>3160</v>
      </c>
      <c r="C975" s="2" t="s">
        <v>3161</v>
      </c>
      <c r="D975" s="5" t="s">
        <v>15</v>
      </c>
      <c r="E975" s="5" t="s">
        <v>16</v>
      </c>
      <c r="F975" s="5" t="s">
        <v>17</v>
      </c>
      <c r="G975" s="5" t="s">
        <v>18</v>
      </c>
      <c r="H975" s="3" t="s">
        <v>539</v>
      </c>
      <c r="I975" s="3"/>
      <c r="J975" s="3" t="s">
        <v>510</v>
      </c>
      <c r="K975" s="5" t="s">
        <v>23</v>
      </c>
      <c r="L975" s="5">
        <v>34</v>
      </c>
      <c r="M975" s="2" t="s">
        <v>3162</v>
      </c>
    </row>
    <row r="976" spans="1:13" x14ac:dyDescent="0.25">
      <c r="A976" s="5" t="str">
        <f>"6297000778686"</f>
        <v>6297000778686</v>
      </c>
      <c r="B976" s="2" t="s">
        <v>3163</v>
      </c>
      <c r="C976" s="2" t="s">
        <v>3164</v>
      </c>
      <c r="D976" s="5" t="s">
        <v>15</v>
      </c>
      <c r="E976" s="5" t="s">
        <v>16</v>
      </c>
      <c r="F976" s="5" t="s">
        <v>17</v>
      </c>
      <c r="G976" s="5" t="s">
        <v>18</v>
      </c>
      <c r="H976" s="3" t="s">
        <v>539</v>
      </c>
      <c r="I976" s="3"/>
      <c r="J976" s="3" t="s">
        <v>371</v>
      </c>
      <c r="K976" s="5" t="s">
        <v>23</v>
      </c>
      <c r="L976" s="5">
        <v>18.5</v>
      </c>
      <c r="M976" s="2" t="s">
        <v>3165</v>
      </c>
    </row>
    <row r="977" spans="1:13" x14ac:dyDescent="0.25">
      <c r="A977" s="5" t="str">
        <f>"6281057005420"</f>
        <v>6281057005420</v>
      </c>
      <c r="B977" s="2" t="s">
        <v>3166</v>
      </c>
      <c r="C977" s="2" t="s">
        <v>3167</v>
      </c>
      <c r="D977" s="5" t="s">
        <v>15</v>
      </c>
      <c r="E977" s="5" t="s">
        <v>16</v>
      </c>
      <c r="F977" s="5" t="s">
        <v>17</v>
      </c>
      <c r="G977" s="5" t="s">
        <v>18</v>
      </c>
      <c r="H977" s="3" t="s">
        <v>44</v>
      </c>
      <c r="I977" s="3"/>
      <c r="J977" s="3"/>
      <c r="K977" s="5" t="s">
        <v>23</v>
      </c>
      <c r="L977" s="5">
        <v>2</v>
      </c>
      <c r="M977" s="2" t="s">
        <v>3168</v>
      </c>
    </row>
    <row r="978" spans="1:13" x14ac:dyDescent="0.25">
      <c r="A978" s="5" t="str">
        <f>"5016860007108"</f>
        <v>5016860007108</v>
      </c>
      <c r="B978" s="2" t="s">
        <v>3169</v>
      </c>
      <c r="C978" s="2" t="s">
        <v>3170</v>
      </c>
      <c r="D978" s="5" t="s">
        <v>15</v>
      </c>
      <c r="E978" s="5" t="s">
        <v>16</v>
      </c>
      <c r="F978" s="5" t="s">
        <v>17</v>
      </c>
      <c r="G978" s="5" t="s">
        <v>18</v>
      </c>
      <c r="H978" s="3" t="s">
        <v>3171</v>
      </c>
      <c r="I978" s="3"/>
      <c r="J978" s="3" t="s">
        <v>238</v>
      </c>
      <c r="K978" s="5" t="s">
        <v>23</v>
      </c>
      <c r="L978" s="5">
        <v>37.950000000000003</v>
      </c>
      <c r="M978" s="2" t="s">
        <v>3172</v>
      </c>
    </row>
    <row r="979" spans="1:13" x14ac:dyDescent="0.25">
      <c r="A979" s="5" t="str">
        <f>"3451790196577"</f>
        <v>3451790196577</v>
      </c>
      <c r="B979" s="2" t="s">
        <v>3173</v>
      </c>
      <c r="C979" s="2" t="s">
        <v>3174</v>
      </c>
      <c r="D979" s="5" t="s">
        <v>15</v>
      </c>
      <c r="E979" s="5" t="s">
        <v>16</v>
      </c>
      <c r="F979" s="5" t="s">
        <v>17</v>
      </c>
      <c r="G979" s="5" t="s">
        <v>18</v>
      </c>
      <c r="H979" s="3" t="s">
        <v>1010</v>
      </c>
      <c r="I979" s="3" t="s">
        <v>108</v>
      </c>
      <c r="J979" s="3" t="s">
        <v>577</v>
      </c>
      <c r="K979" s="5" t="s">
        <v>23</v>
      </c>
      <c r="L979" s="5">
        <v>32</v>
      </c>
      <c r="M979" s="2" t="s">
        <v>3175</v>
      </c>
    </row>
    <row r="980" spans="1:13" x14ac:dyDescent="0.25">
      <c r="A980" s="5" t="str">
        <f>"2144806000005"</f>
        <v>2144806000005</v>
      </c>
      <c r="B980" s="2" t="s">
        <v>3176</v>
      </c>
      <c r="C980" s="2" t="s">
        <v>3177</v>
      </c>
      <c r="D980" s="5" t="s">
        <v>15</v>
      </c>
      <c r="E980" s="5" t="s">
        <v>16</v>
      </c>
      <c r="F980" s="5" t="s">
        <v>17</v>
      </c>
      <c r="G980" s="5" t="s">
        <v>18</v>
      </c>
      <c r="H980" s="3"/>
      <c r="I980" s="3"/>
      <c r="J980" s="3"/>
      <c r="K980" s="5" t="s">
        <v>19</v>
      </c>
      <c r="L980" s="5">
        <v>49.95</v>
      </c>
      <c r="M980" s="2" t="s">
        <v>3178</v>
      </c>
    </row>
    <row r="981" spans="1:13" x14ac:dyDescent="0.25">
      <c r="A981" s="5" t="str">
        <f>"6281022160598"</f>
        <v>6281022160598</v>
      </c>
      <c r="B981" s="2" t="s">
        <v>3179</v>
      </c>
      <c r="C981" s="2" t="s">
        <v>3180</v>
      </c>
      <c r="D981" s="5" t="s">
        <v>15</v>
      </c>
      <c r="E981" s="5" t="s">
        <v>16</v>
      </c>
      <c r="F981" s="5" t="s">
        <v>17</v>
      </c>
      <c r="G981" s="5" t="s">
        <v>18</v>
      </c>
      <c r="H981" s="3"/>
      <c r="I981" s="3"/>
      <c r="J981" s="3" t="s">
        <v>238</v>
      </c>
      <c r="K981" s="5" t="s">
        <v>23</v>
      </c>
      <c r="L981" s="5">
        <v>27.75</v>
      </c>
      <c r="M981" s="2" t="s">
        <v>3181</v>
      </c>
    </row>
    <row r="982" spans="1:13" x14ac:dyDescent="0.25">
      <c r="A982" s="5" t="str">
        <f>"6281022134063"</f>
        <v>6281022134063</v>
      </c>
      <c r="B982" s="2" t="s">
        <v>3182</v>
      </c>
      <c r="C982" s="2" t="s">
        <v>3183</v>
      </c>
      <c r="D982" s="5" t="s">
        <v>15</v>
      </c>
      <c r="E982" s="5" t="s">
        <v>16</v>
      </c>
      <c r="F982" s="5" t="s">
        <v>17</v>
      </c>
      <c r="G982" s="5" t="s">
        <v>18</v>
      </c>
      <c r="H982" s="3"/>
      <c r="I982" s="3"/>
      <c r="J982" s="3" t="s">
        <v>1285</v>
      </c>
      <c r="K982" s="5" t="s">
        <v>23</v>
      </c>
      <c r="L982" s="5">
        <v>7.5</v>
      </c>
      <c r="M982" s="2" t="s">
        <v>3184</v>
      </c>
    </row>
    <row r="983" spans="1:13" x14ac:dyDescent="0.25">
      <c r="A983" s="5" t="str">
        <f>"5202390015434"</f>
        <v>5202390015434</v>
      </c>
      <c r="B983" s="2" t="s">
        <v>3185</v>
      </c>
      <c r="C983" s="2" t="s">
        <v>3186</v>
      </c>
      <c r="D983" s="5" t="s">
        <v>15</v>
      </c>
      <c r="E983" s="5" t="s">
        <v>16</v>
      </c>
      <c r="F983" s="5" t="s">
        <v>17</v>
      </c>
      <c r="G983" s="5" t="s">
        <v>18</v>
      </c>
      <c r="H983" s="3"/>
      <c r="I983" s="3" t="s">
        <v>2219</v>
      </c>
      <c r="J983" s="3" t="s">
        <v>28</v>
      </c>
      <c r="K983" s="5" t="s">
        <v>23</v>
      </c>
      <c r="L983" s="5">
        <v>21.5</v>
      </c>
      <c r="M983" s="2" t="s">
        <v>3187</v>
      </c>
    </row>
    <row r="984" spans="1:13" x14ac:dyDescent="0.25">
      <c r="A984" s="5" t="str">
        <f>"87295627"</f>
        <v>87295627</v>
      </c>
      <c r="B984" s="2" t="s">
        <v>3188</v>
      </c>
      <c r="C984" s="2" t="s">
        <v>3189</v>
      </c>
      <c r="D984" s="5" t="s">
        <v>15</v>
      </c>
      <c r="E984" s="5" t="s">
        <v>16</v>
      </c>
      <c r="F984" s="5" t="s">
        <v>17</v>
      </c>
      <c r="G984" s="5" t="s">
        <v>18</v>
      </c>
      <c r="H984" s="3" t="s">
        <v>2755</v>
      </c>
      <c r="I984" s="3" t="s">
        <v>345</v>
      </c>
      <c r="J984" s="3" t="s">
        <v>2244</v>
      </c>
      <c r="K984" s="5" t="s">
        <v>23</v>
      </c>
      <c r="L984" s="5">
        <v>4</v>
      </c>
      <c r="M984" s="2" t="s">
        <v>3190</v>
      </c>
    </row>
    <row r="985" spans="1:13" x14ac:dyDescent="0.25">
      <c r="A985" s="5" t="str">
        <f>"6281018141280"</f>
        <v>6281018141280</v>
      </c>
      <c r="B985" s="2" t="s">
        <v>3191</v>
      </c>
      <c r="C985" s="2" t="s">
        <v>3192</v>
      </c>
      <c r="D985" s="5" t="s">
        <v>15</v>
      </c>
      <c r="E985" s="5" t="s">
        <v>16</v>
      </c>
      <c r="F985" s="5" t="s">
        <v>17</v>
      </c>
      <c r="G985" s="5" t="s">
        <v>18</v>
      </c>
      <c r="H985" s="3" t="s">
        <v>67</v>
      </c>
      <c r="I985" s="3"/>
      <c r="J985" s="3" t="s">
        <v>2347</v>
      </c>
      <c r="K985" s="5" t="s">
        <v>23</v>
      </c>
      <c r="L985" s="5">
        <v>2</v>
      </c>
      <c r="M985" s="2" t="s">
        <v>3193</v>
      </c>
    </row>
    <row r="986" spans="1:13" x14ac:dyDescent="0.25">
      <c r="A986" s="5" t="str">
        <f>"5202390016981"</f>
        <v>5202390016981</v>
      </c>
      <c r="B986" s="2" t="s">
        <v>3194</v>
      </c>
      <c r="C986" s="2" t="s">
        <v>3195</v>
      </c>
      <c r="D986" s="5" t="s">
        <v>15</v>
      </c>
      <c r="E986" s="5" t="s">
        <v>16</v>
      </c>
      <c r="F986" s="5" t="s">
        <v>17</v>
      </c>
      <c r="G986" s="5" t="s">
        <v>18</v>
      </c>
      <c r="H986" s="3"/>
      <c r="I986" s="3"/>
      <c r="J986" s="3" t="s">
        <v>2791</v>
      </c>
      <c r="K986" s="5" t="s">
        <v>23</v>
      </c>
      <c r="L986" s="5">
        <v>19.5</v>
      </c>
      <c r="M986" s="2" t="s">
        <v>3196</v>
      </c>
    </row>
    <row r="987" spans="1:13" x14ac:dyDescent="0.25">
      <c r="A987" s="5" t="str">
        <f>"6281018310297"</f>
        <v>6281018310297</v>
      </c>
      <c r="B987" s="2" t="s">
        <v>3197</v>
      </c>
      <c r="C987" s="2" t="s">
        <v>3198</v>
      </c>
      <c r="D987" s="5" t="s">
        <v>15</v>
      </c>
      <c r="E987" s="5" t="s">
        <v>16</v>
      </c>
      <c r="F987" s="5" t="s">
        <v>17</v>
      </c>
      <c r="G987" s="5" t="s">
        <v>18</v>
      </c>
      <c r="H987" s="3" t="s">
        <v>67</v>
      </c>
      <c r="I987" s="3" t="s">
        <v>723</v>
      </c>
      <c r="J987" s="3" t="s">
        <v>2261</v>
      </c>
      <c r="K987" s="5" t="s">
        <v>23</v>
      </c>
      <c r="L987" s="5">
        <v>1.25</v>
      </c>
      <c r="M987" s="2" t="s">
        <v>3199</v>
      </c>
    </row>
    <row r="988" spans="1:13" x14ac:dyDescent="0.25">
      <c r="A988" s="5" t="str">
        <f>"6281057016204"</f>
        <v>6281057016204</v>
      </c>
      <c r="B988" s="2" t="s">
        <v>3200</v>
      </c>
      <c r="C988" s="2" t="s">
        <v>3201</v>
      </c>
      <c r="D988" s="5" t="s">
        <v>15</v>
      </c>
      <c r="E988" s="5" t="s">
        <v>16</v>
      </c>
      <c r="F988" s="5" t="s">
        <v>17</v>
      </c>
      <c r="G988" s="5" t="s">
        <v>18</v>
      </c>
      <c r="H988" s="3" t="s">
        <v>44</v>
      </c>
      <c r="I988" s="3"/>
      <c r="J988" s="3" t="s">
        <v>1128</v>
      </c>
      <c r="K988" s="5" t="s">
        <v>23</v>
      </c>
      <c r="L988" s="5">
        <v>3</v>
      </c>
      <c r="M988" s="2" t="s">
        <v>3202</v>
      </c>
    </row>
    <row r="989" spans="1:13" x14ac:dyDescent="0.25">
      <c r="A989" s="5" t="str">
        <f>"6281055003121"</f>
        <v>6281055003121</v>
      </c>
      <c r="B989" s="2" t="s">
        <v>3203</v>
      </c>
      <c r="C989" s="2" t="s">
        <v>3204</v>
      </c>
      <c r="D989" s="5" t="s">
        <v>15</v>
      </c>
      <c r="E989" s="5" t="s">
        <v>16</v>
      </c>
      <c r="F989" s="5" t="s">
        <v>17</v>
      </c>
      <c r="G989" s="5" t="s">
        <v>18</v>
      </c>
      <c r="H989" s="3" t="s">
        <v>3044</v>
      </c>
      <c r="I989" s="3"/>
      <c r="J989" s="3" t="s">
        <v>2488</v>
      </c>
      <c r="K989" s="5" t="s">
        <v>23</v>
      </c>
      <c r="L989" s="5">
        <v>3</v>
      </c>
      <c r="M989" s="2" t="s">
        <v>3205</v>
      </c>
    </row>
    <row r="990" spans="1:13" x14ac:dyDescent="0.25">
      <c r="A990" s="5" t="str">
        <f>"6281100174141"</f>
        <v>6281100174141</v>
      </c>
      <c r="B990" s="2" t="s">
        <v>3206</v>
      </c>
      <c r="C990" s="2" t="s">
        <v>3207</v>
      </c>
      <c r="D990" s="5" t="s">
        <v>15</v>
      </c>
      <c r="E990" s="5" t="s">
        <v>16</v>
      </c>
      <c r="F990" s="5" t="s">
        <v>17</v>
      </c>
      <c r="G990" s="5" t="s">
        <v>18</v>
      </c>
      <c r="H990" s="3" t="s">
        <v>2736</v>
      </c>
      <c r="I990" s="3"/>
      <c r="J990" s="3" t="s">
        <v>3208</v>
      </c>
      <c r="K990" s="5" t="s">
        <v>23</v>
      </c>
      <c r="L990" s="5">
        <v>1.5</v>
      </c>
      <c r="M990" s="2" t="s">
        <v>3209</v>
      </c>
    </row>
    <row r="991" spans="1:13" x14ac:dyDescent="0.25">
      <c r="A991" s="5" t="str">
        <f>"6281100174066"</f>
        <v>6281100174066</v>
      </c>
      <c r="B991" s="2" t="s">
        <v>3210</v>
      </c>
      <c r="C991" s="2" t="s">
        <v>3211</v>
      </c>
      <c r="D991" s="5" t="s">
        <v>15</v>
      </c>
      <c r="E991" s="5" t="s">
        <v>16</v>
      </c>
      <c r="F991" s="5" t="s">
        <v>17</v>
      </c>
      <c r="G991" s="5" t="s">
        <v>18</v>
      </c>
      <c r="H991" s="3" t="s">
        <v>2736</v>
      </c>
      <c r="I991" s="3"/>
      <c r="J991" s="3"/>
      <c r="K991" s="5" t="s">
        <v>23</v>
      </c>
      <c r="L991" s="5">
        <v>1.5</v>
      </c>
      <c r="M991" s="2" t="s">
        <v>3212</v>
      </c>
    </row>
    <row r="992" spans="1:13" x14ac:dyDescent="0.25">
      <c r="A992" s="5" t="str">
        <f>"6281020174917"</f>
        <v>6281020174917</v>
      </c>
      <c r="B992" s="2" t="s">
        <v>3213</v>
      </c>
      <c r="C992" s="2" t="s">
        <v>3214</v>
      </c>
      <c r="D992" s="5" t="s">
        <v>15</v>
      </c>
      <c r="E992" s="5" t="s">
        <v>16</v>
      </c>
      <c r="F992" s="5" t="s">
        <v>17</v>
      </c>
      <c r="G992" s="5" t="s">
        <v>18</v>
      </c>
      <c r="H992" s="3" t="s">
        <v>1146</v>
      </c>
      <c r="I992" s="3"/>
      <c r="J992" s="3" t="s">
        <v>3215</v>
      </c>
      <c r="K992" s="5" t="s">
        <v>23</v>
      </c>
      <c r="L992" s="5">
        <v>194.5</v>
      </c>
      <c r="M992" s="2" t="s">
        <v>3216</v>
      </c>
    </row>
    <row r="993" spans="1:13" x14ac:dyDescent="0.25">
      <c r="A993" s="5" t="str">
        <f>"850057068092"</f>
        <v>850057068092</v>
      </c>
      <c r="B993" s="2" t="s">
        <v>3217</v>
      </c>
      <c r="C993" s="2" t="s">
        <v>3218</v>
      </c>
      <c r="D993" s="5" t="s">
        <v>15</v>
      </c>
      <c r="E993" s="5" t="s">
        <v>16</v>
      </c>
      <c r="F993" s="5" t="s">
        <v>17</v>
      </c>
      <c r="G993" s="5" t="s">
        <v>18</v>
      </c>
      <c r="H993" s="3" t="s">
        <v>3219</v>
      </c>
      <c r="I993" s="3"/>
      <c r="J993" s="3" t="s">
        <v>3220</v>
      </c>
      <c r="K993" s="5" t="s">
        <v>23</v>
      </c>
      <c r="L993" s="5">
        <v>25.95</v>
      </c>
      <c r="M993" s="2" t="s">
        <v>3221</v>
      </c>
    </row>
    <row r="994" spans="1:13" x14ac:dyDescent="0.25">
      <c r="A994" s="5" t="str">
        <f>"6281024010655"</f>
        <v>6281024010655</v>
      </c>
      <c r="B994" s="2" t="s">
        <v>3222</v>
      </c>
      <c r="C994" s="2" t="s">
        <v>3223</v>
      </c>
      <c r="D994" s="5" t="s">
        <v>15</v>
      </c>
      <c r="E994" s="5" t="s">
        <v>16</v>
      </c>
      <c r="F994" s="5" t="s">
        <v>17</v>
      </c>
      <c r="G994" s="5" t="s">
        <v>18</v>
      </c>
      <c r="H994" s="3" t="s">
        <v>979</v>
      </c>
      <c r="I994" s="3"/>
      <c r="J994" s="3" t="s">
        <v>113</v>
      </c>
      <c r="K994" s="5" t="s">
        <v>23</v>
      </c>
      <c r="L994" s="5">
        <v>39.950000000000003</v>
      </c>
      <c r="M994" s="2" t="s">
        <v>3224</v>
      </c>
    </row>
    <row r="995" spans="1:13" x14ac:dyDescent="0.25">
      <c r="A995" s="5" t="str">
        <f>"6281022134025"</f>
        <v>6281022134025</v>
      </c>
      <c r="B995" s="2" t="s">
        <v>3225</v>
      </c>
      <c r="C995" s="2" t="s">
        <v>3226</v>
      </c>
      <c r="D995" s="5" t="s">
        <v>15</v>
      </c>
      <c r="E995" s="5" t="s">
        <v>16</v>
      </c>
      <c r="F995" s="5" t="s">
        <v>17</v>
      </c>
      <c r="G995" s="5" t="s">
        <v>18</v>
      </c>
      <c r="H995" s="3"/>
      <c r="I995" s="3"/>
      <c r="J995" s="3" t="s">
        <v>371</v>
      </c>
      <c r="K995" s="5" t="s">
        <v>23</v>
      </c>
      <c r="L995" s="5">
        <v>5.95</v>
      </c>
      <c r="M995" s="2" t="s">
        <v>3227</v>
      </c>
    </row>
    <row r="996" spans="1:13" x14ac:dyDescent="0.25">
      <c r="A996" s="5" t="str">
        <f>"3245390137838"</f>
        <v>3245390137838</v>
      </c>
      <c r="B996" s="2" t="s">
        <v>3228</v>
      </c>
      <c r="C996" s="2" t="s">
        <v>3229</v>
      </c>
      <c r="D996" s="5" t="s">
        <v>15</v>
      </c>
      <c r="E996" s="5" t="s">
        <v>16</v>
      </c>
      <c r="F996" s="5" t="s">
        <v>17</v>
      </c>
      <c r="G996" s="5" t="s">
        <v>18</v>
      </c>
      <c r="H996" s="3" t="s">
        <v>165</v>
      </c>
      <c r="I996" s="3" t="s">
        <v>108</v>
      </c>
      <c r="J996" s="3" t="s">
        <v>28</v>
      </c>
      <c r="K996" s="5" t="s">
        <v>23</v>
      </c>
      <c r="L996" s="5">
        <v>61.95</v>
      </c>
      <c r="M996" s="2" t="s">
        <v>3230</v>
      </c>
    </row>
    <row r="997" spans="1:13" x14ac:dyDescent="0.25">
      <c r="A997" s="5" t="str">
        <f>"6281020174894"</f>
        <v>6281020174894</v>
      </c>
      <c r="B997" s="2" t="s">
        <v>3231</v>
      </c>
      <c r="C997" s="2" t="s">
        <v>3232</v>
      </c>
      <c r="D997" s="5" t="s">
        <v>15</v>
      </c>
      <c r="E997" s="5" t="s">
        <v>16</v>
      </c>
      <c r="F997" s="5" t="s">
        <v>17</v>
      </c>
      <c r="G997" s="5" t="s">
        <v>18</v>
      </c>
      <c r="H997" s="3" t="s">
        <v>1146</v>
      </c>
      <c r="I997" s="3"/>
      <c r="J997" s="3" t="s">
        <v>3215</v>
      </c>
      <c r="K997" s="5" t="s">
        <v>23</v>
      </c>
      <c r="L997" s="5">
        <v>194.5</v>
      </c>
      <c r="M997" s="2" t="s">
        <v>3233</v>
      </c>
    </row>
    <row r="998" spans="1:13" x14ac:dyDescent="0.25">
      <c r="A998" s="5" t="str">
        <f>"8901262010160"</f>
        <v>8901262010160</v>
      </c>
      <c r="B998" s="2" t="s">
        <v>3234</v>
      </c>
      <c r="C998" s="2" t="s">
        <v>3235</v>
      </c>
      <c r="D998" s="5" t="s">
        <v>15</v>
      </c>
      <c r="E998" s="5" t="s">
        <v>16</v>
      </c>
      <c r="F998" s="5" t="s">
        <v>17</v>
      </c>
      <c r="G998" s="5" t="s">
        <v>18</v>
      </c>
      <c r="H998" s="3" t="s">
        <v>2389</v>
      </c>
      <c r="I998" s="3"/>
      <c r="J998" s="3"/>
      <c r="K998" s="5" t="s">
        <v>23</v>
      </c>
      <c r="L998" s="5">
        <v>44.25</v>
      </c>
      <c r="M998" s="2" t="s">
        <v>3236</v>
      </c>
    </row>
    <row r="999" spans="1:13" x14ac:dyDescent="0.25">
      <c r="A999" s="5" t="str">
        <f>"850057068115"</f>
        <v>850057068115</v>
      </c>
      <c r="B999" s="2" t="s">
        <v>3237</v>
      </c>
      <c r="C999" s="2" t="s">
        <v>3238</v>
      </c>
      <c r="D999" s="5" t="s">
        <v>15</v>
      </c>
      <c r="E999" s="5" t="s">
        <v>16</v>
      </c>
      <c r="F999" s="5" t="s">
        <v>17</v>
      </c>
      <c r="G999" s="5" t="s">
        <v>18</v>
      </c>
      <c r="H999" s="3" t="s">
        <v>3239</v>
      </c>
      <c r="I999" s="3"/>
      <c r="J999" s="3" t="s">
        <v>3240</v>
      </c>
      <c r="K999" s="5" t="s">
        <v>23</v>
      </c>
      <c r="L999" s="5">
        <v>25.95</v>
      </c>
      <c r="M999" s="2" t="s">
        <v>3241</v>
      </c>
    </row>
    <row r="1000" spans="1:13" x14ac:dyDescent="0.25">
      <c r="A1000" s="5" t="str">
        <f>"6281018119784"</f>
        <v>6281018119784</v>
      </c>
      <c r="B1000" s="2" t="s">
        <v>3242</v>
      </c>
      <c r="C1000" s="2" t="s">
        <v>3243</v>
      </c>
      <c r="D1000" s="5" t="s">
        <v>15</v>
      </c>
      <c r="E1000" s="5" t="s">
        <v>16</v>
      </c>
      <c r="F1000" s="5" t="s">
        <v>17</v>
      </c>
      <c r="G1000" s="5" t="s">
        <v>18</v>
      </c>
      <c r="H1000" s="3" t="s">
        <v>67</v>
      </c>
      <c r="I1000" s="3"/>
      <c r="J1000" s="3" t="s">
        <v>3244</v>
      </c>
      <c r="K1000" s="5" t="s">
        <v>23</v>
      </c>
      <c r="L1000" s="5">
        <v>2</v>
      </c>
      <c r="M1000" s="2" t="s">
        <v>3245</v>
      </c>
    </row>
    <row r="1001" spans="1:13" x14ac:dyDescent="0.25">
      <c r="A1001" s="5" t="str">
        <f>"850057068153"</f>
        <v>850057068153</v>
      </c>
      <c r="B1001" s="2" t="s">
        <v>3246</v>
      </c>
      <c r="C1001" s="2" t="s">
        <v>3247</v>
      </c>
      <c r="D1001" s="5" t="s">
        <v>15</v>
      </c>
      <c r="E1001" s="5" t="s">
        <v>16</v>
      </c>
      <c r="F1001" s="5" t="s">
        <v>17</v>
      </c>
      <c r="G1001" s="5" t="s">
        <v>18</v>
      </c>
      <c r="H1001" s="3" t="s">
        <v>3248</v>
      </c>
      <c r="I1001" s="3"/>
      <c r="J1001" s="3" t="s">
        <v>3240</v>
      </c>
      <c r="K1001" s="5" t="s">
        <v>23</v>
      </c>
      <c r="L1001" s="5">
        <v>25.95</v>
      </c>
      <c r="M1001" s="2" t="s">
        <v>3249</v>
      </c>
    </row>
  </sheetData>
  <autoFilter ref="A1:M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ELdesouky</dc:creator>
  <cp:lastModifiedBy>Abdallah ELdesouky</cp:lastModifiedBy>
  <dcterms:created xsi:type="dcterms:W3CDTF">2015-06-05T18:17:20Z</dcterms:created>
  <dcterms:modified xsi:type="dcterms:W3CDTF">2025-08-01T07:58:49Z</dcterms:modified>
</cp:coreProperties>
</file>