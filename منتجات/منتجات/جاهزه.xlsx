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21\Downloads\"/>
    </mc:Choice>
  </mc:AlternateContent>
  <xr:revisionPtr revIDLastSave="0" documentId="8_{64EA596A-7BEC-4704-B6A3-CA5E87F903B3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do_not_edit" sheetId="1" state="veryHidden" r:id="rId1"/>
    <sheet name="Product Upload 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02" i="2" l="1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</calcChain>
</file>

<file path=xl/sharedStrings.xml><?xml version="1.0" encoding="utf-8"?>
<sst xmlns="http://schemas.openxmlformats.org/spreadsheetml/2006/main" count="4149" uniqueCount="3091">
  <si>
    <t xml:space="preserve"> وحدة</t>
  </si>
  <si>
    <t>جرام</t>
  </si>
  <si>
    <t>قطعة</t>
  </si>
  <si>
    <t>كیلو جرام</t>
  </si>
  <si>
    <t>لتر</t>
  </si>
  <si>
    <t>متر مربع</t>
  </si>
  <si>
    <t>متر مكعب</t>
  </si>
  <si>
    <t>اغذيه</t>
  </si>
  <si>
    <t>اكواب ورق وبلاستيك</t>
  </si>
  <si>
    <t>الالبان والحليب</t>
  </si>
  <si>
    <t>الصنف الأساسي</t>
  </si>
  <si>
    <t>بسكويتات</t>
  </si>
  <si>
    <t>شامبوهات</t>
  </si>
  <si>
    <t>شبس</t>
  </si>
  <si>
    <t>عصائر</t>
  </si>
  <si>
    <t>غذاء الحيوان الاليف</t>
  </si>
  <si>
    <t>غسول للجسم</t>
  </si>
  <si>
    <t>كريمات شعر وللجسم</t>
  </si>
  <si>
    <t>مشروبات غازيه</t>
  </si>
  <si>
    <t>منظفات ومطهرات</t>
  </si>
  <si>
    <t>12 - 5101 - تكلفة البضاعة المباعة</t>
  </si>
  <si>
    <t>58 - 5102 - رواتب وأجور</t>
  </si>
  <si>
    <t>59 - 5103 - عمولات البيع</t>
  </si>
  <si>
    <t>84 - 5104 - شحن وتخليص جمركي</t>
  </si>
  <si>
    <t>62 - 5202 - تأمين طبي</t>
  </si>
  <si>
    <t>63 - 5203 - مصاريف تسويقية ودعائية</t>
  </si>
  <si>
    <t>11 - 5204 - مصاريف الإيجار</t>
  </si>
  <si>
    <t>66 - 5206 - تذاكر سفر</t>
  </si>
  <si>
    <t>67 - 5207 - التأمينات الاجتماعية</t>
  </si>
  <si>
    <t>68 - 5208 - الرسوم الحكومية</t>
  </si>
  <si>
    <t>69 - 5209 - رسوم واشتراكات</t>
  </si>
  <si>
    <t>70 - 5210 - مصاريف خدمات المكتب</t>
  </si>
  <si>
    <t>71 - 5211 - مصاريف مكتبية ومطبوعات</t>
  </si>
  <si>
    <t>72 - 5212 - مصاريف ضيافة</t>
  </si>
  <si>
    <t>73 - 5213 - عمولات بنكية</t>
  </si>
  <si>
    <t>74 - 5214 - مصاريف أخرى</t>
  </si>
  <si>
    <t>82 - 5219 - مصروف نقل ومواصلات</t>
  </si>
  <si>
    <t>1 - 120101 - الأراضي</t>
  </si>
  <si>
    <t>2 - 120102 - المباني</t>
  </si>
  <si>
    <t>3 - 120103 - المعدات</t>
  </si>
  <si>
    <t>6 - 120104 - أجهزة مكتبية وطابعات</t>
  </si>
  <si>
    <t>22 - 1202 - الأصول غير الملموسة</t>
  </si>
  <si>
    <t>23 - 1203 - العقارات الاستثمارية</t>
  </si>
  <si>
    <t>17 - 4101 - إيرادات المبيعات/ الخدمات</t>
  </si>
  <si>
    <t>18 - 4201 - إيرادات أخرى</t>
  </si>
  <si>
    <t>الضريبة الصفرية - 0.0%</t>
  </si>
  <si>
    <t>معفاة من الضريبة - 0.0%</t>
  </si>
  <si>
    <t>ضريبة القيمة المضافة - 15.0%</t>
  </si>
  <si>
    <t>نعم</t>
  </si>
  <si>
    <t>لا</t>
  </si>
  <si>
    <t>منتج</t>
  </si>
  <si>
    <t>خدمة</t>
  </si>
  <si>
    <t>مصروف</t>
  </si>
  <si>
    <t>Z-تصدير السلع</t>
  </si>
  <si>
    <t>Z</t>
  </si>
  <si>
    <t>Z-تصدير الخدمات</t>
  </si>
  <si>
    <t>Z-توريدات المعادن الاستثمارية</t>
  </si>
  <si>
    <t>Z-خدمات التعليم الأهلي للمواطن</t>
  </si>
  <si>
    <t>Z-خدمات الرعاية الصحية الخاصة للمواطن</t>
  </si>
  <si>
    <t>Z-الأدوية والمعدات الطبية</t>
  </si>
  <si>
    <t>Z-النقل الدولي للسلع</t>
  </si>
  <si>
    <t>Z-النقل الدولي للركاب</t>
  </si>
  <si>
    <t>Z-توريد وسائل النقل المؤهلة</t>
  </si>
  <si>
    <t>Z-التوريدات ذات الصلة بخدمات نقل السلع والركاب من وإلى المملكة</t>
  </si>
  <si>
    <t>Z-خدمات نقل السلع والركاب من وإلى المملكة</t>
  </si>
  <si>
    <t>E-الخدمات المالية</t>
  </si>
  <si>
    <t>E</t>
  </si>
  <si>
    <t>E-خدمات التأمين على الحياة</t>
  </si>
  <si>
    <t>E-توريد العقار السكني</t>
  </si>
  <si>
    <t>الرقم التسلسلي يجب أن يكون مميز</t>
  </si>
  <si>
    <t xml:space="preserve">   </t>
  </si>
  <si>
    <t xml:space="preserve">  </t>
  </si>
  <si>
    <r>
      <rPr>
        <sz val="11"/>
        <color rgb="FFFF0000"/>
        <rFont val="Arial"/>
      </rPr>
      <t xml:space="preserve">  </t>
    </r>
  </si>
  <si>
    <t>يرجى تعبئة البيانات بدون تعديل قالب الملف</t>
  </si>
  <si>
    <t xml:space="preserve"> </t>
  </si>
  <si>
    <t>الرقم التسلسلي</t>
  </si>
  <si>
    <t>نوع المنتج</t>
  </si>
  <si>
    <t>الاسم العربي</t>
  </si>
  <si>
    <t>الاسم الانجليزي</t>
  </si>
  <si>
    <t>الوصف</t>
  </si>
  <si>
    <t>هل المنتج مخزون؟</t>
  </si>
  <si>
    <t>وحدة القياس</t>
  </si>
  <si>
    <t>الصنف</t>
  </si>
  <si>
    <t>سعر الشراء (يترك فارغا إذا المنتج لا يشترى)</t>
  </si>
  <si>
    <t>سعر البيع (يترك فارغا إذا المنتج لا يباع)</t>
  </si>
  <si>
    <t>حساب المصاريف</t>
  </si>
  <si>
    <t>حساب المبيعات</t>
  </si>
  <si>
    <t>الضريبة</t>
  </si>
  <si>
    <t>سعر البيع يشمل الضريبة؟</t>
  </si>
  <si>
    <t>سعر الشراء يشمل الضريبة؟</t>
  </si>
  <si>
    <t>سبب الضريبة (يترك فارغا في حالة ضريبة القيمة المضافة)</t>
  </si>
  <si>
    <t>الباركود</t>
  </si>
  <si>
    <t>منتج نقاط بيع</t>
  </si>
  <si>
    <t>الطيب جبنة بيضاء قليلة الملح</t>
  </si>
  <si>
    <t>بوك جبنه حلوم 200 غرام</t>
  </si>
  <si>
    <t>المراعي كريمة خفق  1 لتر</t>
  </si>
  <si>
    <t>المراعي جبنة حلومي كاملة الدسم 200جرام</t>
  </si>
  <si>
    <t>المراعي جبن فيتا قليل الدسم وقليل الملح 200جرام</t>
  </si>
  <si>
    <t>صحة بيض ابيض وسط ×15 بيضة</t>
  </si>
  <si>
    <t>القريه بيض أبيض مميز – 30 حبة</t>
  </si>
  <si>
    <t>آكتيفيا مشروب كفير 180 مل</t>
  </si>
  <si>
    <t>نادك كريمة خفق 1 لتر</t>
  </si>
  <si>
    <t>ندى زبادي يوناني 160 جرام</t>
  </si>
  <si>
    <t>المراعي قشطة طازجة 100 جرام</t>
  </si>
  <si>
    <t>الصافي جبن  500جرام</t>
  </si>
  <si>
    <t>المراعي لبن طازج قليل الدسم 2 لتر</t>
  </si>
  <si>
    <t>داري لبنة تركية  700جرام</t>
  </si>
  <si>
    <t>كيري جبنة مربعات  بالقشطة قابلة للدهن ، 24 قطعة 2x عبوة، 48 قطعة 800 جرام</t>
  </si>
  <si>
    <t>أكتيفيا زبادي كامل الدسم 150 جرام ×5 + 1 مجانا</t>
  </si>
  <si>
    <t>المراعي جبنة كريمية مطبوخة 900 جرام × 2 حبة</t>
  </si>
  <si>
    <t>كي دي دي شوكولاتة بالحليب طويلة الأمد 180 مل × 18 قطعة</t>
  </si>
  <si>
    <t>نادك زبادي طازج قليل الدسم 170 جرام × 6</t>
  </si>
  <si>
    <t>بريزيدن شرائح جبنه شيدر للساندويش 400 غرام</t>
  </si>
  <si>
    <t>نادك شبيه زبدة غير مملحة 1كج</t>
  </si>
  <si>
    <t>المراعي جبنه فيتا كاملة الدسم 200 غرام</t>
  </si>
  <si>
    <t>المراعي زبدة  طبيعية غير مملحة 100جرام</t>
  </si>
  <si>
    <t>نادك زبادي كامل الدسم 2 كجم</t>
  </si>
  <si>
    <t>بريزيدن جبنه موزاريلا  وإيمنتال 450 غرام</t>
  </si>
  <si>
    <t>أكتيفيا مشروب كفير 280 مل</t>
  </si>
  <si>
    <t>ندى شراب يوناني قليل الدسم 330 مل</t>
  </si>
  <si>
    <t>ندى زبادي يوناني سادة قليل الدسم 160 جرام</t>
  </si>
  <si>
    <t>بريزيدن لبنة تركية 275 جرام</t>
  </si>
  <si>
    <t>السعودية حليب كامل الدسم طويل الأجل 125 مل × 24</t>
  </si>
  <si>
    <t>جبن بارميزان إيطالي</t>
  </si>
  <si>
    <t>بوك لبنة 650جرام</t>
  </si>
  <si>
    <t>المراعي زبادي الشام كامل الدسم 1 كج</t>
  </si>
  <si>
    <t>المراعي حليب كامل الدسم طويل الأجل 1 لتر ×10 + 2 مجانا</t>
  </si>
  <si>
    <t>كارفور كومبوت تفاح 100 جرام × 4</t>
  </si>
  <si>
    <t>نادك زبادي كامل الدسم 170 جرام</t>
  </si>
  <si>
    <t>لورباك زبدة ناعمة غير مملحة 400جرام</t>
  </si>
  <si>
    <t>المراعي حليب كامل الدسم طويل الأجل 200مل × 18</t>
  </si>
  <si>
    <t>شرائح جبنة الحلوم - سوريا</t>
  </si>
  <si>
    <t>الصافي لبنة كريمية 700جرام</t>
  </si>
  <si>
    <t>المراعي زبادي قليل الدسم 170 جرام</t>
  </si>
  <si>
    <t>المراعي جبنة مربعات  432 جرام × 24 قطعه</t>
  </si>
  <si>
    <t>المراعي جبنة فيتا  كاملة الدسم 200 جرام × 2</t>
  </si>
  <si>
    <t>السعودية حليب طويل الأجل كامل الدسم  200 مل × 24 قطعة</t>
  </si>
  <si>
    <t>نادك شبيه جبنة قابلة للدهن 900جرام ×2</t>
  </si>
  <si>
    <t>كرافت جبنة قابلة للدهن 870جرام × 2</t>
  </si>
  <si>
    <t>كيري جبن قابل للدهن عبوة زجاجية 500 جرام</t>
  </si>
  <si>
    <t>جبنة دبل كريم مع حبة البركة</t>
  </si>
  <si>
    <t>الصافي لبنة كريمية 400 جرام</t>
  </si>
  <si>
    <t>لورباك زبدة غير مملحة 400جرام</t>
  </si>
  <si>
    <t>رحيمة بيض بني × 15 بيضة</t>
  </si>
  <si>
    <t>فيكتوريا جبن حلوم  250 جرام</t>
  </si>
  <si>
    <t>ألبرو حليب اللوز 1لتر</t>
  </si>
  <si>
    <t>كيري جبنة كريمية في مرطبان زجاجي 500 غرام، حزمة من 2</t>
  </si>
  <si>
    <t>المراعي حليب غني وكريمي طويل الأجل كامل الدسم 1لتر</t>
  </si>
  <si>
    <t>المراعي جبنة فيتا قليلة الدسم وملح أقل 400 جرام</t>
  </si>
  <si>
    <t>جبنة كرافت شيدر 100جرام × 6</t>
  </si>
  <si>
    <t>بوك جبنة كريمية قليلة الدسم قابلة للدهن  500جرام × 2</t>
  </si>
  <si>
    <t>جبنة موتزاريلا</t>
  </si>
  <si>
    <t>بريزيدن موزاريلا وقشقوان مبشور 400 جرام</t>
  </si>
  <si>
    <t>كارفور كلاسيك جبن بري كريمي 200 جرام</t>
  </si>
  <si>
    <t>المراعي جبنة شرائح 400جرام × 20 قطعة</t>
  </si>
  <si>
    <t>صحة - بيض 30 بفيتامين هـ  30 بيضة</t>
  </si>
  <si>
    <t>لورباك زبدة ناعمة غير مملحة 200جرام</t>
  </si>
  <si>
    <t>بريزيدنت جبنة مثلثات 480جرام × 32 قطعة</t>
  </si>
  <si>
    <t>جبنة فريكو إيدام</t>
  </si>
  <si>
    <t>جبن عريش مصري</t>
  </si>
  <si>
    <t>نادك كريمة الطبخ 500 مل</t>
  </si>
  <si>
    <t>المراعي حليب غني وكريمي طةيل الأجل كامل الدسم 1 لتر ×12عبوة</t>
  </si>
  <si>
    <t>بوك لبنة 400جرام</t>
  </si>
  <si>
    <t>نادك لبن طازج كامل الدسم 1.75 لتر</t>
  </si>
  <si>
    <t>كرافت جبنة شيدر 50جرام</t>
  </si>
  <si>
    <t>المراعي جبنة كريمية قابلة للدهن 500 جرام × 2 حبة</t>
  </si>
  <si>
    <t>المراعي حمص 250 جرام</t>
  </si>
  <si>
    <t>المراعي لبنة  كاملة الدسم على الطريقة التركية 180 مل</t>
  </si>
  <si>
    <t>كارفور جبنة ناعمة 100 جرام × 8 قطع</t>
  </si>
  <si>
    <t>أكتيفيا زبادي طازج قليل الدسم 150 جرام عبوة من 6 قطع</t>
  </si>
  <si>
    <t>الصافي زبادي كامل الدسم 170 جرام × 6 قطع</t>
  </si>
  <si>
    <t>ندى - حليب طويل الأمد بنكهة الشوكولاتة 115 مل × 18 قطعة</t>
  </si>
  <si>
    <t>جبنة فيتا مصرية بالزيتون</t>
  </si>
  <si>
    <t>المراعي حليب بروتين خالي من اللاكتوز، قليل الدسم 400 مل</t>
  </si>
  <si>
    <t>كارفور جورجونزولا سلايس 150 جرام</t>
  </si>
  <si>
    <t>لورباك زبدة مملحة ممزوجة بزيت الكانولا 400 جرام</t>
  </si>
  <si>
    <t>كرافت جبنة شيدر 50 جرام 7 + 1 مجاناً</t>
  </si>
  <si>
    <t>بوك كريمة الطبخ  1 لتر</t>
  </si>
  <si>
    <t>فيلادلفيا جبنةقابلة للدهن 1.65 كجم</t>
  </si>
  <si>
    <t>المراعي حمص بالليمون 250 جرام</t>
  </si>
  <si>
    <t>الصافي زبادي قليل الدسم 170 جرام × 6 قطع</t>
  </si>
  <si>
    <t>كارفور شرائح جبنة جودة  200 جرام</t>
  </si>
  <si>
    <t>ألبرو حليب جوز الهند للمحترفين 1لتر</t>
  </si>
  <si>
    <t>فيلادلفيا  جبنة قابلة للدهن 180 جرام</t>
  </si>
  <si>
    <t>داري جبن قشقوان بقري</t>
  </si>
  <si>
    <t>ندى حليب طويل الأمد كامل الدسم 115 مل عبوة من 18 قطعة</t>
  </si>
  <si>
    <t>المراعي لبن بنكهة الفراولة 180 مل</t>
  </si>
  <si>
    <t>كرافت جبنة فيلادلفيا عادي 280 غرام</t>
  </si>
  <si>
    <t>المراعي زبادي طازج مانجو 150 جرام</t>
  </si>
  <si>
    <t>جبنة إكسترا كومت ايه أو بي من كارفور250 غ</t>
  </si>
  <si>
    <t>بريزيدن موزاريلا أربع نكهات 400 جرام</t>
  </si>
  <si>
    <t>المراعي جبنة شرائح للبرجر 200جرام × 10 قطع</t>
  </si>
  <si>
    <t>بوك كريمة الطهي  200 جرام</t>
  </si>
  <si>
    <t>لورباك زبدة غير مملحة 10جرام × 100</t>
  </si>
  <si>
    <t>جبنة موزاريلا مبشورة من بوك 900 جرام</t>
  </si>
  <si>
    <t>ندى زبادي يوناني 360 جرام</t>
  </si>
  <si>
    <t>المراعي جبنة كريمية قابلة للدهن 500جرام</t>
  </si>
  <si>
    <t>المراعي موزاريلا مبشورة 180 جرام</t>
  </si>
  <si>
    <t>جبنة شيدر برتقالية - المملكة المتحدة</t>
  </si>
  <si>
    <t>بريزيدن شيدر موزاريلا 450 جرام</t>
  </si>
  <si>
    <t>دانيت فانيليا 75 جرام × 7 + 1 مجاناً</t>
  </si>
  <si>
    <t>كارفور حلوى تفاح مانجو باشون 100 جرام × 4</t>
  </si>
  <si>
    <t>بريزيدن لبنة تركية لايت 275 جرام</t>
  </si>
  <si>
    <t>صحة بيض سوبر × 6</t>
  </si>
  <si>
    <t>المراعي زبادي بالفراولة 140 جرام × 5 + 1 مجاناً</t>
  </si>
  <si>
    <t>المراعي حليب نجوم كامل الدسم طويل الأجل 150 مل × 18</t>
  </si>
  <si>
    <t>صحة بيض السيلينيوم العضوي 15 بيضة</t>
  </si>
  <si>
    <t>كارفور شرائح جبنة إيمنتال فرنسية  200 جرام</t>
  </si>
  <si>
    <t>جبنة شيدر بيضاء - المملكة المتحدة</t>
  </si>
  <si>
    <t>بوك لبنة  180جرام</t>
  </si>
  <si>
    <t>الصافي لبن كامل الدسم 2لتر</t>
  </si>
  <si>
    <t>نادك جبنة شرائح 400 جرام</t>
  </si>
  <si>
    <t>كارفور حلوى تفاح 100 جرام × 8</t>
  </si>
  <si>
    <t>السعودية حليب طويل الأجل كامل الدسم  2لتر</t>
  </si>
  <si>
    <t>كارفور تفاح وفراولة 100 جرام × 4</t>
  </si>
  <si>
    <t>فرسانا (شبيه جبنة)موزاريلا مبشور 200 جرام</t>
  </si>
  <si>
    <t>زبدة مخلوطة غير مملحة</t>
  </si>
  <si>
    <t>ندى حليب طازج 3 لتر</t>
  </si>
  <si>
    <t>كارفور زبادي بالخوخ 150 جرام × 4</t>
  </si>
  <si>
    <t>صحة - بيض محضّر بفيتامين د 30 حبة</t>
  </si>
  <si>
    <t>كرافت جبنة شيدر 500 جرام</t>
  </si>
  <si>
    <t>المراعي جبنة  قليلة الدسم 200جرام × 10 قطع</t>
  </si>
  <si>
    <t>نادك حليب شوكولاتة طويل الأجل 125 مل × 18</t>
  </si>
  <si>
    <t>كارفور جبنة راكليت 400 جرام</t>
  </si>
  <si>
    <t>كارفور مزيج من 3 جبن مبشور  200 جرام</t>
  </si>
  <si>
    <t>أكتيفيا زبادي يوناني دبل زيرو 150 جرام (0% دهون، 0% سكر مضاف)</t>
  </si>
  <si>
    <t>كريستيس جبنة حلومي  225 جرام</t>
  </si>
  <si>
    <t>بريزيدن جبنة موزاريلا مبشورة 400 جرام</t>
  </si>
  <si>
    <t>الأبقار الثلاث جبن ابيض كامل الدسم 500 جرام</t>
  </si>
  <si>
    <t>بوك شبيه جبنة كريمية بيضاء مطبوخة قابلة للدهن 500جرام</t>
  </si>
  <si>
    <t>جبنة بدر قليلة الدسم مع الحبة السوداء</t>
  </si>
  <si>
    <t>المراعي زبادي 150 جرام</t>
  </si>
  <si>
    <t>كارفور زبادي  125 جرام × 4</t>
  </si>
  <si>
    <t>كارفور كومبوت تفاح والمشمش 100 جرام × 4</t>
  </si>
  <si>
    <t>بوك كريمة الطهي الخفيفة قليلة الدسم  500 مل</t>
  </si>
  <si>
    <t>داري - جبنة موزاريلا معالجة 900 جرام</t>
  </si>
  <si>
    <t>كارفور جرانا بادانو 200 جرام</t>
  </si>
  <si>
    <t>بالاد لبنة تركية، 400 جرام، عبوة من قطعتين</t>
  </si>
  <si>
    <t>كارفور كلاسيك - جبنة ماعز شرائح 200 جرام</t>
  </si>
  <si>
    <t>كارفور شرائح جبن مسعود 200 جرام</t>
  </si>
  <si>
    <t>المراعي حمص كلاسيك 250جرام ×2</t>
  </si>
  <si>
    <t>نادك برجر  جبنة 10 شرائح 200 جرام</t>
  </si>
  <si>
    <t>لورباك زبدة غير مملحة 50جرام × 6</t>
  </si>
  <si>
    <t>المراعي حليب نجوم بنكهة الفراولة 150 مل × 8</t>
  </si>
  <si>
    <t>المراعي حليب طازج قليل الدسم 1 لتر</t>
  </si>
  <si>
    <t>كارفور تاغلياتيل طازجة 350 جرام</t>
  </si>
  <si>
    <t>كارفور جبنة زرقاء 125 جرام</t>
  </si>
  <si>
    <t>السعودية حليب بنكهة الشوكولاتة 125مل × 24</t>
  </si>
  <si>
    <t>المراعي كريمة خفق 500 مل</t>
  </si>
  <si>
    <t>كرافت جبنة شيدر الأصلية 480جرام</t>
  </si>
  <si>
    <t>كارفور بلو دي بريس 250 جرام</t>
  </si>
  <si>
    <t>ندى بروتين بنكهة الشوكولاتة بالحليب 320 مل</t>
  </si>
  <si>
    <t>أكتيميل مشروب ألبان بالتوت 93 مل × 4</t>
  </si>
  <si>
    <t>كارفور شرائح جبنة شيدر حمراء 200 جرام</t>
  </si>
  <si>
    <t>كارفور روكفور  150 جرام</t>
  </si>
  <si>
    <t>الصافي زبادي كامل الدسم 1 كجم</t>
  </si>
  <si>
    <t>كارفور كاسترد بالكراميل 100 جرام × 4</t>
  </si>
  <si>
    <t>الصافي قشطة 100 جرام × 2</t>
  </si>
  <si>
    <t>نادك زبادي طازج كامل الدسم 1 كجم</t>
  </si>
  <si>
    <t>دانيت كريم كراميل 80 جرام × 7 + 1 مجاناً</t>
  </si>
  <si>
    <t>كرافت جبنة شيدر 250 جرام</t>
  </si>
  <si>
    <t>بالاد زبادي كفير بروتيني، 180 جرام</t>
  </si>
  <si>
    <t>أنكور زبدة غير مملحة 100 جرام</t>
  </si>
  <si>
    <t>دانيت كوكي بودنج 75 جرام × 7 + 1 مجاناً</t>
  </si>
  <si>
    <t>ندى زبادي يوناني سادة خالي الدسم  360 جرام</t>
  </si>
  <si>
    <t>تلال غوار عجين المطبق 1كج</t>
  </si>
  <si>
    <t>بلدي فارمز - حليب الكفير 1 لتر</t>
  </si>
  <si>
    <t>كارفور جبن الماعز بريبس 200 جرام</t>
  </si>
  <si>
    <t>بريزيدن لبنة تركية 700 جرام</t>
  </si>
  <si>
    <t>كارفور  سوجا فانيليا 100 جرام × 4</t>
  </si>
  <si>
    <t>المراعي حليب طويل الأجل قليل الدسم 1لتر</t>
  </si>
  <si>
    <t>كيري مربعات جبنة كريمية قابلة للدهن ، 12 قطعة ، 200جرام</t>
  </si>
  <si>
    <t>أكتيفيا لبن خفيف 180 مل</t>
  </si>
  <si>
    <t>نادك حليب قليل الدسم 1.75 لتر</t>
  </si>
  <si>
    <t>أكتيفيا زبادي خوخ ومشمش 120 جرام</t>
  </si>
  <si>
    <t>كارفور كلاسيك جبنة سادة للدهن 150 غرام</t>
  </si>
  <si>
    <t>صافيوحليب لتقوية المناعة 185 ملل حزمة من 18</t>
  </si>
  <si>
    <t>بوك جبن مثلثات 120جرام × 5</t>
  </si>
  <si>
    <t>أكتيفيا ميكس زبادي 120 جرام</t>
  </si>
  <si>
    <t>جبنة شيدر برتقال</t>
  </si>
  <si>
    <t>ندى حليب بالبروتين 320 مل</t>
  </si>
  <si>
    <t>المراعي شرائح الجبن للبرجر 400 جرام × 20 شريحة</t>
  </si>
  <si>
    <t>كيري جبنة مربعات بالقشطة قابلة للدهن ، 6 قطع 5x عبوات، 35 قطعة 500 جرام</t>
  </si>
  <si>
    <t>لبنة تركية 410جرام</t>
  </si>
  <si>
    <t>المراعي زبدة طبيعية غير مملحة 1كج</t>
  </si>
  <si>
    <t>نادك لبن قليل الدسم 1.75 لتر</t>
  </si>
  <si>
    <t>زبدة حليب بقر صافي</t>
  </si>
  <si>
    <t>المراعي كريم كراميل 100 جرام × 6</t>
  </si>
  <si>
    <t>فرسانا جبن قليل الدسم شرائح 170 جرام × 3</t>
  </si>
  <si>
    <t>أكتيفيا زبادي بالفراولة 120 جرام</t>
  </si>
  <si>
    <t>كيري جبنة مربعات قابلة للدهن 18 قطعة 324 غرام</t>
  </si>
  <si>
    <t>الصافي حليب طازج كامل الدسم 2.9 لتر</t>
  </si>
  <si>
    <t>ألبرو باريستا حليب اللوز 1لتر</t>
  </si>
  <si>
    <t>الصافي جبنه حلوم 225 غرام</t>
  </si>
  <si>
    <t>كرافت جبنة كريمية القابلة للدهن -عبوة قابلة للضغط 440جرام</t>
  </si>
  <si>
    <t>بريزيدن جبنه موزاريلا وإيمنتال450 غرام</t>
  </si>
  <si>
    <t>بوك مربعات جبنه كريمية - 24 قطعة</t>
  </si>
  <si>
    <t>بريزيدن سافوري ساندويتش شرائح جبنة شيدر 200 غرام</t>
  </si>
  <si>
    <t>المراعي جبنة شرائح 200جرام</t>
  </si>
  <si>
    <t>جبنة شيدر صفراء أيرلندية</t>
  </si>
  <si>
    <t xml:space="preserve">بيض صحة سوبر عشرة طازج - درجة أولى، منتج من دجاج تمت تغذيته على علف نباتي 100٪، عبوة من 10، صناعة سعودية
</t>
  </si>
  <si>
    <t>المراعي شرائح جبنة 200جرام × 3 + 1 مجاناً</t>
  </si>
  <si>
    <t>أكتيفيا لبن قليل الدسم 1.75 لتر</t>
  </si>
  <si>
    <t>ندى بروتين حليب الفانيليا 320 مل</t>
  </si>
  <si>
    <t>نادك لبن كامل الدسم 180 مل</t>
  </si>
  <si>
    <t>نادك زبادي سادة قليل الدسم 2 +1 480 جرام</t>
  </si>
  <si>
    <t>المراعي نجوم حليب بالفانيلا طويل الأجل 150 مل × 18 حبة</t>
  </si>
  <si>
    <t>جبن فيتا سعودي</t>
  </si>
  <si>
    <t>بوك جبنة بيضاء 1.1كج</t>
  </si>
  <si>
    <t>بوك جبنة إيمنتال شرائح 150 جرام</t>
  </si>
  <si>
    <t>جبنة ابوالولد جبنة مثلثات  120جرام - 8 مثلثات × 4 عبوات</t>
  </si>
  <si>
    <t>نادك زبادي يوناني سادة 160 جرام</t>
  </si>
  <si>
    <t>أنكور زبدة غير مملحة 180 جرام</t>
  </si>
  <si>
    <t>جبن شيدر مصري</t>
  </si>
  <si>
    <t>كيري مربعات جبنة كريمية قابلة للدهن، 6 قطع ، 108جرام</t>
  </si>
  <si>
    <t>لورباك زبدة ناعمة مملحة 200 جرام</t>
  </si>
  <si>
    <t>ندى لبن طازج كامل الدسم 3 لتر</t>
  </si>
  <si>
    <t>المراعي زبدة  طبيعية غير مملحة 10جرام × 100 قطعة</t>
  </si>
  <si>
    <t>فالبريسو جبن فيتا فرنسي</t>
  </si>
  <si>
    <t>بوك كريمة خفق  1 لتر</t>
  </si>
  <si>
    <t>ألبرومشروب الصويا بالفانيليا النباتي 1 لتر</t>
  </si>
  <si>
    <t>بوك شبيه جبنة كريمية قابلة للدهن 230جرام</t>
  </si>
  <si>
    <t>داري جبنة موزاريلا</t>
  </si>
  <si>
    <t>فريكو ايدام جبنة طرية</t>
  </si>
  <si>
    <t>المراعي لبن عيران  2لتر</t>
  </si>
  <si>
    <t>بوك جبنة كريمية ناعمة 200جرام</t>
  </si>
  <si>
    <t>نادك شراب لبن عيران 1.75 لتر</t>
  </si>
  <si>
    <t>جبنة هادجو قشقوان</t>
  </si>
  <si>
    <t>كرافت جبنة شيدر 230جرام</t>
  </si>
  <si>
    <t>المراعي حليب طويل الأمد قليل الدسم 1 لتر × 12</t>
  </si>
  <si>
    <t>بوك جبن كريمي للدهن بالثوم و الأعشاب الطبيعية 200 غرام</t>
  </si>
  <si>
    <t>المراعي حليب خالي الدسم، 1 لتر</t>
  </si>
  <si>
    <t>بلدي لبنة لبنانية أصلية 450 جرام</t>
  </si>
  <si>
    <t>زبادي نادك 160 جرام × 2 + 1</t>
  </si>
  <si>
    <t xml:space="preserve"> صافيو حليب بالشوكولاتة 185 مل × 18</t>
  </si>
  <si>
    <t>المراعي جبن شيدر مطبوخ 454 جرام</t>
  </si>
  <si>
    <t>الصافي زبادي كامل الدسم 170 جرام</t>
  </si>
  <si>
    <t xml:space="preserve"> شبيه جبن اسطنبولي</t>
  </si>
  <si>
    <t>قشطة مصرية طازجة</t>
  </si>
  <si>
    <t>المراعي جبنة شرائح للساندويتش 200جرام × 10 قطع</t>
  </si>
  <si>
    <t>بوك شرائح جبن الشيدر الطبيعي 150 غرام</t>
  </si>
  <si>
    <t>المراعي جبن شيدر 56 جرام × 5 + 1 مجانا</t>
  </si>
  <si>
    <t>أكتيفيا زبادي مخفوق كامل الدسم 125 جرام</t>
  </si>
  <si>
    <t>المراعي جبنة مربعات 6 قطع 108 جرام × 2 + 1 مجاناً</t>
  </si>
  <si>
    <t>المراعي لبن طازج قليل الدسم مع فيتامينات مضافة 180 مل</t>
  </si>
  <si>
    <t>فالبريسو فيتا بطعم الاصلي  200 جرام</t>
  </si>
  <si>
    <t>بريزيدن شيدر  مبشور 450 جرام</t>
  </si>
  <si>
    <t>المراعي شوكولاتة كاسترد 85 جرام ×5 +1 مجانا</t>
  </si>
  <si>
    <t>المراعي زبدة  طبيعية غير مملحة 200جرام</t>
  </si>
  <si>
    <t>المراعي - جبنة مارفيلو الكريمية بالأعشاب 200جرام</t>
  </si>
  <si>
    <t>الصافي حليب طويل الأجل كامل الدسم 1لتر</t>
  </si>
  <si>
    <t>فرسانا  (شبيه جبنة) جبن شرائح 170 جرام × 3</t>
  </si>
  <si>
    <t>فرسانا لبنة  1كج</t>
  </si>
  <si>
    <t>فريكو جبنة إيدام غنية 300 جرام 20 شريحة</t>
  </si>
  <si>
    <t>حليب المراعي قليل الدسم طويل الأجل 200 مل × 18</t>
  </si>
  <si>
    <t>الصافي زبادي كامل الدسم 2 كجم</t>
  </si>
  <si>
    <t>المراعي كريمة الطبخ 1 لتر × 2</t>
  </si>
  <si>
    <t>المراعي موزاريلا مبشورة لايت 180 جرام</t>
  </si>
  <si>
    <t>لورباك زبدة مملحة 200جرام</t>
  </si>
  <si>
    <t>السعودية حليب طويل الأجل  قليل الدسم 200 مل × 24 قطعة</t>
  </si>
  <si>
    <t>أكتيفيا لبن كامل الدسم 180 مل</t>
  </si>
  <si>
    <t>أكتيفيا زبادي مانجو 120 جرام</t>
  </si>
  <si>
    <t>فيكتوريا جاردن جبن حلومي 250 جرام</t>
  </si>
  <si>
    <t>كافال قشقوان كامل الدسم</t>
  </si>
  <si>
    <t>جبنة مدخنة مع الأعشاب</t>
  </si>
  <si>
    <t>المراعي حلوى كاسترد بالفانيليا 85 جرام ×5 + 1 مجاناً</t>
  </si>
  <si>
    <t>الصافي - زبادي يوناني سادة 150 جرام × 3</t>
  </si>
  <si>
    <t>صحة بيض غني بالأوميجا 3 متوسط الحجم × 15بيضة</t>
  </si>
  <si>
    <t>نادك شبيه الزبدة غير مملحة 500جرام</t>
  </si>
  <si>
    <t>ندى حليب طويل الأمد بنكهة الفراولة 125 مل × 18 قطعة</t>
  </si>
  <si>
    <t>داري شرائح جبنة حلومي  200 جرام</t>
  </si>
  <si>
    <t>السعودية حليب بنكهة الفانيليا 125 مل × 24</t>
  </si>
  <si>
    <t>بريزيدنن فيتا جبنة كاملة الدسم 500 جرام</t>
  </si>
  <si>
    <t>برايد جبنة  10 شرائح (200 جرام)</t>
  </si>
  <si>
    <t>الصافي حليب طازج كامل الدسم 2لتر</t>
  </si>
  <si>
    <t>فريكو جبنة جودا هولندية خفيفة</t>
  </si>
  <si>
    <t>بوك كريم خفق 250 جرام</t>
  </si>
  <si>
    <t>بلدي لبنة لبنانية قليلة الدسم 450 جرام</t>
  </si>
  <si>
    <t>ندى لبنة تركية 2كج</t>
  </si>
  <si>
    <t>السعودية حليب بنكهة الفراولة طويل الأجل 125مل × 24</t>
  </si>
  <si>
    <t>إنتريمونت - جبنة إيمنتال الفرنسية</t>
  </si>
  <si>
    <t>المراعي جبنة شيدر  قابلة للدهن 500جرام × 2</t>
  </si>
  <si>
    <t>المراعي لبنة  كاملة الدسم على الطريقة التركية 400جرام</t>
  </si>
  <si>
    <t>إيلي آند فاير إكسلنلس كريمة الطهي 1 لتر</t>
  </si>
  <si>
    <t>جبن أزرق دنماركي</t>
  </si>
  <si>
    <t>بيبيبل قالب جبنة الأصلي ، 200 جرام</t>
  </si>
  <si>
    <t>صباحو مافن دبل تشوكو 60 جرام</t>
  </si>
  <si>
    <t>فريكو جودا نتس 5 × 20 جرام</t>
  </si>
  <si>
    <t>جبنة شيدر بيضاء</t>
  </si>
  <si>
    <t>بوك شرائح جبن غودا طبيعي 150 غرام</t>
  </si>
  <si>
    <t>بوك جبنه كريمية قليلة الدسم  للدهن 500 غرام</t>
  </si>
  <si>
    <t>نادك حليب خالي الدسم طويل الأجل 1لتر × 12</t>
  </si>
  <si>
    <t>الربيع زين حليب بالشوكولاتة 125 مل × 18</t>
  </si>
  <si>
    <t>المراعي - جبنة مارفيلو الكريمية 200جرام</t>
  </si>
  <si>
    <t>نادك جبنة شرائح شيدر 200 جرام</t>
  </si>
  <si>
    <t>الصافي جبنه قشقوان 350 غرام</t>
  </si>
  <si>
    <t>بوك جبنة فيتا مكعبات فاخرة 200 جرام</t>
  </si>
  <si>
    <t>برايد زبدة غير مملحة 100جرام</t>
  </si>
  <si>
    <t>داري جبنة حلوم  225 جرام</t>
  </si>
  <si>
    <t>السعودية حليب كامل الدسم طويل الأجل 125 مل × 8</t>
  </si>
  <si>
    <t>المراعي زبادي بالفراولة 140 جرام</t>
  </si>
  <si>
    <t>نادك لبن كامل الدسم 800 مل</t>
  </si>
  <si>
    <t>الصافي لبن طازج كامل الدسم 2.9 لتر</t>
  </si>
  <si>
    <t>كرافت جبنة قابلة للدهن الأصلية - عبوة قابلة للضغط 790جرام</t>
  </si>
  <si>
    <t>المراعي لبن طازج كامل الدسم مع إضافة فيتامينات 360 مل</t>
  </si>
  <si>
    <t>نادك شبيه جبنة شيدر قابل للدهن 500 جرام ×2</t>
  </si>
  <si>
    <t>نادك زبادي طازج قليل الدسم 170 جرام</t>
  </si>
  <si>
    <t>المراعي جبنة  شرائح شيدر 200 جرام × 3 +1 مجاناً</t>
  </si>
  <si>
    <t>نادك جبنة ابيض 450 جرام+ 200 جم</t>
  </si>
  <si>
    <t>المراعي زبادي كامل الدسم 170 جرام</t>
  </si>
  <si>
    <t>داري - جبنة موزاريلا مبشورة معالجة 450 جرام</t>
  </si>
  <si>
    <t>أكتيفيا زبادي لايت توت مشكل 120 جرام</t>
  </si>
  <si>
    <t>ليدانا زبدة مخلوطة غير مملحة</t>
  </si>
  <si>
    <t>الجود لبنة تركية</t>
  </si>
  <si>
    <t>صافيو زبادي معزز للمناعة بنكهة الفراولة 110 جرام حزمة من 4</t>
  </si>
  <si>
    <t>ندى لبنة تركية 200جرام</t>
  </si>
  <si>
    <t>المراعي حليب البروتين (34جرام) بطعم القهوة 400جرام</t>
  </si>
  <si>
    <t>جبن رومي بالكمون</t>
  </si>
  <si>
    <t>بوك جبنة مربعات×12</t>
  </si>
  <si>
    <t>بلدي فارمز - حليب الكفير 225 مل</t>
  </si>
  <si>
    <t>المراعي لبن بنكهة الفراولة 340 مل</t>
  </si>
  <si>
    <t>نادك جبنة فيتا بيضاء قليلة الدسم 450 جرام</t>
  </si>
  <si>
    <t>كيري  جبنة كريمية قابلة للدهن 600جرام</t>
  </si>
  <si>
    <t>شبيه جبنة فيتا مصرية</t>
  </si>
  <si>
    <t>لونا جبنة ابيض 500جرام × 2</t>
  </si>
  <si>
    <t>الفيلق بيض 15 بيضة</t>
  </si>
  <si>
    <t>أكتيفا - مشروب كفير 850 مل</t>
  </si>
  <si>
    <t>ندى لبنة يونانية – غنية بالبروتين، سلسة وكريمية – 410 جرام</t>
  </si>
  <si>
    <t>ندى بروتين حليب بالفراولة 320 مل</t>
  </si>
  <si>
    <t>جبنة إسكندراني معتقة - مصر</t>
  </si>
  <si>
    <t>المراعي حليب طازج كامل الدسم مع إضافة فيتامينات 180 مل</t>
  </si>
  <si>
    <t>أكتيفيا لبن طازج منزوع الدسم 1.75 لتر</t>
  </si>
  <si>
    <t>المراعي زبادي خالي من الدسم 170 جرام</t>
  </si>
  <si>
    <t>كرافت جبنة  شرائح لايت 400 جرام</t>
  </si>
  <si>
    <t>دانيت حلى بطعم الحلوى القطنية 75 جرام ×7 + 1 مجاناً</t>
  </si>
  <si>
    <t>بوك شرائح جبن الموزاريلا الطبيعي 150 غرام</t>
  </si>
  <si>
    <t>صحة بيض غني بالوتين وزياكسانثين × 30 بضة</t>
  </si>
  <si>
    <t>بوك جبنة كريمية مطبوخة قابلة للدهن 400 جرام</t>
  </si>
  <si>
    <t>المراعي جبن شيدر قليل الدسم 454 جرام</t>
  </si>
  <si>
    <t>السعودية حليب طويل الأجل كامل الدسم العلامة الذهبية 1لتر</t>
  </si>
  <si>
    <t>المراعي حليب طازج كامل الدسم 500 مل</t>
  </si>
  <si>
    <t>أسترا جبن عكاوي</t>
  </si>
  <si>
    <t>بوك جبن كريمي للدهن بالزيتون الطبيعي 200 غرام</t>
  </si>
  <si>
    <t>ألبرو مشروب الصويا النباتي غير محلى 1 لتر</t>
  </si>
  <si>
    <t>المراعي جبنة شيدر شرائح  200جرام × 10 قطع</t>
  </si>
  <si>
    <t xml:space="preserve">السعودية حليب بنكهة حلاوة القطن – 200 مل × (15 + 3 مجاناً)
</t>
  </si>
  <si>
    <t>فود تشويس جبن حلوم 250 جرام</t>
  </si>
  <si>
    <t>السعودية حليب خالي الدسم طويل الأجل  1لتر</t>
  </si>
  <si>
    <t>المراعي لبن بنكهة المانجو 180 مل</t>
  </si>
  <si>
    <t>كرافت جبن شيدر 100جرام</t>
  </si>
  <si>
    <t>نادك شبيه جبنة فيتا 250جرام</t>
  </si>
  <si>
    <t>أكتيفيا زبادي مخفوق لايت 125 جرام</t>
  </si>
  <si>
    <t>المراعي لبن طازج كامل الدسم 1.4 لتر</t>
  </si>
  <si>
    <t>جبنة جرانا بادانو إيطالية</t>
  </si>
  <si>
    <t>المراعي جبنة شرائح شيدر 400جرام × 20 شريحة</t>
  </si>
  <si>
    <t>المراعي قشطة 200 جرام</t>
  </si>
  <si>
    <t>نادك جبنة شيدر 400جرام</t>
  </si>
  <si>
    <t>الصافي حليب طازج كامل الدسم 1.5 لتر</t>
  </si>
  <si>
    <t>فرسانا  (شبيه جبنة)موزاريلا مبشورة 200 جرام × 3</t>
  </si>
  <si>
    <t>بريزيدن - لبنة تركية 180 جرام</t>
  </si>
  <si>
    <t>بوك تكس مكس جبنة شيدار وموزاريلا مبشورة 180جرام</t>
  </si>
  <si>
    <t>المراعي حليب غني بالشوكولاتة 200 مل × 18</t>
  </si>
  <si>
    <t>أسترا موزاريلا</t>
  </si>
  <si>
    <t>فالبريسو فيتا لايت 200 جرام</t>
  </si>
  <si>
    <t>أكتيفيا لبن قليل الدسم 850 مل</t>
  </si>
  <si>
    <t>بوك جبنة كريمية أصلية 300جرام</t>
  </si>
  <si>
    <t>برايد  (شبيه جبنة)  شيدر 1 كجم</t>
  </si>
  <si>
    <t>المراعي حليب باريستا طويل الأجل، كامل الدسم 1لتر</t>
  </si>
  <si>
    <t>يوبرو حليب فانيليا بروتين 300 مل</t>
  </si>
  <si>
    <t>الأبقار الثلاث جبنة ابيض قليلة الدسم 500 جرام</t>
  </si>
  <si>
    <t>كي دي دي زبدة 100 جرام</t>
  </si>
  <si>
    <t>المراعي زبدة طبيعية مملحة 200 جرام</t>
  </si>
  <si>
    <t>الصافي لبن طازج كامل الدسم 1.5 لتر</t>
  </si>
  <si>
    <t>المراعي جبن شيدر مطبوخ قابل للدهن 900جرام × 2</t>
  </si>
  <si>
    <t>برايد موزاريلا مبشورة 500 جرام</t>
  </si>
  <si>
    <t>نادك حليب طازج كامل الدسم 800 مل</t>
  </si>
  <si>
    <t>المراعي لبن طازج قليل الدسم 1 لتر</t>
  </si>
  <si>
    <t>ندى زبادي كامل الدسم 170 جرام × 5 قطع + 1 مجاناً</t>
  </si>
  <si>
    <t>جبنة فيتا مجرية</t>
  </si>
  <si>
    <t>المراعي - جبنة موزاريلا مبشورة 900 جرام</t>
  </si>
  <si>
    <t>نادك حليب طويل الأجل من حليب الأبقار 100% خالي الدسم 1 لتر</t>
  </si>
  <si>
    <t>زانيتي بيكورينو جبن رومانو 160 جرام</t>
  </si>
  <si>
    <t>بوك جبنة موزاريلا وقشقوان مبشورة 400جرام</t>
  </si>
  <si>
    <t>السعودية حليب طويل الأجل قليل الدسم  1لتر</t>
  </si>
  <si>
    <t>مازولا زبدة نباتية 500جرام</t>
  </si>
  <si>
    <t>فالبريسو جبنة فيتا فرنسية 600 جرام</t>
  </si>
  <si>
    <t>بريزيدنت جبنة مربعات، عبوة 24 قطعة، 336 جرام</t>
  </si>
  <si>
    <t>البقرات الثلاث( شبية جبة)  موزاريلا مبشور 180 جرام</t>
  </si>
  <si>
    <t>المراعي لبنة  كاملة الدسم 2.75كج</t>
  </si>
  <si>
    <t>البقرة الضاحكة (شبيه) جبنة مثلثات الاصلية، قابلة للدهن ، عبوة من 32 قطعة × 2 ، 64 قطعة ، 960</t>
  </si>
  <si>
    <t>المراعي جبن شيدر كامل الدسم 113جرام × 5 + 1 مجاناً</t>
  </si>
  <si>
    <t>كي دي دي حليب بنكهة الشوكولاتة 125 مل × 18</t>
  </si>
  <si>
    <t>ندى زبادي كامل الدسم 380 جرام</t>
  </si>
  <si>
    <t>الصافي زبادي يوناني سادة 150 جرام</t>
  </si>
  <si>
    <t>المراعي نجوم حليب بطعم الموز طويل الأجل 150 مل × 18 حبة</t>
  </si>
  <si>
    <t>اكتيميل مشروب ألبان بغذاء ملكات النحل والخوخ 93 مل × 4</t>
  </si>
  <si>
    <t>المراعي جبنة مربعات 108جرام - 6 قطع</t>
  </si>
  <si>
    <t>برايد برجر شرائح جبنة 20 شريحة (400 جرام)</t>
  </si>
  <si>
    <t>ألبرو حليب صويا بنكهة الشوكولاتة 1لتر (عضوي)</t>
  </si>
  <si>
    <t>شبيه جبنة فيتا مصرية مع فلفل</t>
  </si>
  <si>
    <t>نادك حليب  بنكهة الشوكولاتة 185 مل 18</t>
  </si>
  <si>
    <t>بلدي لبنة خالية من اللاكتوز 450 جرام</t>
  </si>
  <si>
    <t>داري لبنة تركية 180جرام</t>
  </si>
  <si>
    <t>نادك جبنة قشقوان 350 جرام</t>
  </si>
  <si>
    <t>فريكو شرائح جبن مسعود  150 جرام</t>
  </si>
  <si>
    <t>لبنة جرشية</t>
  </si>
  <si>
    <t>نادك جبنة شرائح للسندويتش 400 جرام</t>
  </si>
  <si>
    <t>بوك جبن قليل الدسم 240 جرام</t>
  </si>
  <si>
    <t>فرسانا زبدة غير مملحة 1كج</t>
  </si>
  <si>
    <t>ندى قشطة 200 جرام</t>
  </si>
  <si>
    <t>بوك جبنة شيدر وموزاريلا مبشورة 180جرام</t>
  </si>
  <si>
    <t>جبنة عكاوي قليلة الملح</t>
  </si>
  <si>
    <t>بارميجيانو بارميزانيتالي</t>
  </si>
  <si>
    <t>يوبرو حليب شوكولاتة بروتين 300 مل</t>
  </si>
  <si>
    <t>آرلا حليب عضوي قليل الدسم  1لتر</t>
  </si>
  <si>
    <t>بريزيدن شرائح جبنة خفيفة ولذيذة 400 جرام 20 شريحة</t>
  </si>
  <si>
    <t>برستيج جبن كاممبرت 125 جرام</t>
  </si>
  <si>
    <t>بوك شبيه جبنة كريم قابلة للدهن 900جرام</t>
  </si>
  <si>
    <t>فرسانا  (شبيه جبنة) جبنة موزاريلا 200 جرام 3</t>
  </si>
  <si>
    <t>المراعي زبادي بالكرز الأسود 140 جرام</t>
  </si>
  <si>
    <t>المراعي حليب طويل الأجل خالي من الدسم 1 لتر × 12 قطعة</t>
  </si>
  <si>
    <t>الصافي حليب كامل الدسم 1لتر × 12 قطعة</t>
  </si>
  <si>
    <t>برايد جبنة  10 شرائح 200 جرام</t>
  </si>
  <si>
    <t>دانا جبنة زرقاء 100 جرام</t>
  </si>
  <si>
    <t>كي دي دي حليب طويل الأجل كامل الدسم 1لتر × 12</t>
  </si>
  <si>
    <t>المراعي لبن عيران 180 مل</t>
  </si>
  <si>
    <t>برايد لايت، جبنة شرائح قليلة الدسم  200 جرام</t>
  </si>
  <si>
    <t>زاد المدينة جبن ماعز طازج عضوي 100 جرام</t>
  </si>
  <si>
    <t>المراعي كريم كراميل 100 جرام</t>
  </si>
  <si>
    <t>البقرة الضاحكة جبنة مثلثات الاصلية قابلة للدهن ، 24 قطعة ، 360جرام</t>
  </si>
  <si>
    <t>نادك كريمة طازجة 100 جرام</t>
  </si>
  <si>
    <t>دانيت بودينج الشوكولاتة 75 جرام</t>
  </si>
  <si>
    <t>بريزيدن جبنة مثلثات 120جرام × 8 قطع</t>
  </si>
  <si>
    <t>الربيع  زين حليب  بالفراولة 125 مل × 18</t>
  </si>
  <si>
    <t>المراعي جبنة مربعات 432جرام × 24 قطعة</t>
  </si>
  <si>
    <t>السعودية حليب قليل الدسم طويل الأجل 2لتر</t>
  </si>
  <si>
    <t>جبنة شيدر برتقالية إنجليزيية</t>
  </si>
  <si>
    <t>نادك شبيه جبنة موزاريلا مبشورة 500 جرام</t>
  </si>
  <si>
    <t>بلدي فارمز - جبنة حلوم خالية من اللاكتوز 250 جرام</t>
  </si>
  <si>
    <t>بوك شبنة تكسمكس مبشورة 400جرام</t>
  </si>
  <si>
    <t>نادك حليب بالموز 125 مل × 18</t>
  </si>
  <si>
    <t>المراعي جبنة كريمية مطبوخة 200 جرام</t>
  </si>
  <si>
    <t>الربيع حليب كامل الدسم 1لتر × 8</t>
  </si>
  <si>
    <t>المراعي حلوى كاسترد 85 جرام</t>
  </si>
  <si>
    <t>لبنة غنم أسترا محلية</t>
  </si>
  <si>
    <t>فرسان (شبيه جبنة) جبن شيدر 200 جرام</t>
  </si>
  <si>
    <t>نادك لبن طازج قليل الدسم 180 مل</t>
  </si>
  <si>
    <t>بوك قطع جبنه بيضاء مع الثوم والبقدونس 200 غرام</t>
  </si>
  <si>
    <t>المراعي جبن شيدر قابل للدهن 500جرام</t>
  </si>
  <si>
    <t>بريزيدن فيتا  جبنة كاملة الدسم  250 جرام</t>
  </si>
  <si>
    <t>أكتيفيا زبادي فراولة لايت 120 جرام</t>
  </si>
  <si>
    <t>بوك صلصة الجبن الأربعة 500 مل</t>
  </si>
  <si>
    <t>بوك شبيه جبنة موزاريلا مبشورة 180جرام</t>
  </si>
  <si>
    <t>برايد مكعبات جبنة شيدر قليلة الدسم 500 جرام</t>
  </si>
  <si>
    <t>نادك لبنة نادك كاملة الدسم 200جرام × 2</t>
  </si>
  <si>
    <t>ألبرو حليب الصويا الأصلي 1لتر (عضوي)</t>
  </si>
  <si>
    <t>لونا قالب شبيه جبنة شيدر 500جرام</t>
  </si>
  <si>
    <t>ندى زبادي يوناني كريمي بزيادة 160 جرام</t>
  </si>
  <si>
    <t>جبنة براميلي طبيعية مع فلفل</t>
  </si>
  <si>
    <t>بريزيدن زبدة مملحة 100 جرام</t>
  </si>
  <si>
    <t>ندى زبادي يوناني 0% دهون، 330 مل</t>
  </si>
  <si>
    <t>ندى زبادي كامل الدسم 2 كجم</t>
  </si>
  <si>
    <t>بوك شرائح جبنة الشيدر 400 جرام</t>
  </si>
  <si>
    <t>ندى مشروب يوناني 330 مل</t>
  </si>
  <si>
    <t>داري - جبنة موزاريلا مبشورة معالجة ومبسترة 180 جرام</t>
  </si>
  <si>
    <t>بريزيدن شرائح جبنة للتوست 200 جرام 10 شرائح</t>
  </si>
  <si>
    <t>جبنة جدل - سوريا</t>
  </si>
  <si>
    <t>نادك حليب طويل الأجل 125مل</t>
  </si>
  <si>
    <t>إيل آند فير إكسلنلس كريمة خفق 1 لتر</t>
  </si>
  <si>
    <t>الصافي زبادي قليل الدسم 170 جرام</t>
  </si>
  <si>
    <t>بوك صلصة الفطر والفلفل 500 مل</t>
  </si>
  <si>
    <t>كرافت شرائح جبنة  400 جرام</t>
  </si>
  <si>
    <t>سنبلة جبن قشقوان هنغاري</t>
  </si>
  <si>
    <t>نادك لبنة طازجة كاملة الدسم 200جرام</t>
  </si>
  <si>
    <t>جبنة ابوالولد جبنة مثلثات ، 32 قطعة ، 480جرام</t>
  </si>
  <si>
    <t>لونا حليب كامل الدسم 200مل × 18</t>
  </si>
  <si>
    <t>جبنة براميلي مع الفلفل</t>
  </si>
  <si>
    <t>المراعي حمص بعصرة ليمون 250 جرام × 2</t>
  </si>
  <si>
    <t>بوك شبيه جبنة موزاريلا مبشورة 400جرام</t>
  </si>
  <si>
    <t>السعودية حليب بنكهة الموز طويل الأجل 125مل × 24</t>
  </si>
  <si>
    <t>الأبقار الثلاث جبنة ابيض ملح خفيف بالزيت النباتي 200 جرام</t>
  </si>
  <si>
    <t>شرائح جبنة موزاريلا 200 جرام</t>
  </si>
  <si>
    <t>جبنة قشقوان بقري</t>
  </si>
  <si>
    <t>جبنة شيدر بيضاء أيرلندية</t>
  </si>
  <si>
    <t>كي دي دي حليب طويل الأجل بنكهة الفانيليا 180 مل × 18</t>
  </si>
  <si>
    <t>فرسانا زبدة غير مملحة (عبوات صغيرة) 10جرام ×96 عبوة</t>
  </si>
  <si>
    <t>كرافت جبنة  الأصلية 200 جرام</t>
  </si>
  <si>
    <t>فرسانا  (شبيه جبنة) شرائح الجبن 170 جرام</t>
  </si>
  <si>
    <t>جبنة عكاوي</t>
  </si>
  <si>
    <t>صحة بيض كبير 6 حبات</t>
  </si>
  <si>
    <t>المراعي حليب غني بالشوكولاتة 200 مل</t>
  </si>
  <si>
    <t>كيري جرة ، جبنة بالقشطة قابلة للدهن ، برطمان ، 440 غرام</t>
  </si>
  <si>
    <t>بريزيدن زبدة غير مملحة 400جرام</t>
  </si>
  <si>
    <t>نادك - شرائح جبنة للساندويتش عبوة من 10 شرائح</t>
  </si>
  <si>
    <t>بوك - جبنة بيضاء مكعبات بالبابريكا والفلفل الحار، على الطريقة اليونانية، مع مصفاة، 200 جرام</t>
  </si>
  <si>
    <t>نادك جبن شرائح قليل الدسم 200 جرام</t>
  </si>
  <si>
    <t>الصافي لبن طازج كامل الدسم 180 مل</t>
  </si>
  <si>
    <t>نادك لبن قليل الدسم 800 مل</t>
  </si>
  <si>
    <t>بلدي - لبنة تركية 1.2 كج</t>
  </si>
  <si>
    <t>بلادي زبادي يوناني، قليل الدسم، 450 جرام</t>
  </si>
  <si>
    <t>المراعي نجوم حليب بالشوكولاته بوزن 150 ملل</t>
  </si>
  <si>
    <t>فرسانا جبنة شيدريلا مبشورة 200 جرام</t>
  </si>
  <si>
    <t>المراعي شرائح  جبن الساندويتش 200 غرام حزمة من 4</t>
  </si>
  <si>
    <t>السعودية حليب خالي الدسم طويل الأجل 200 مل × 24 قطعة</t>
  </si>
  <si>
    <t>السعودية حليب بنكهة الشوكولاتة 125مل</t>
  </si>
  <si>
    <t>البقرات الثلاث ( شبية جبة)  موزاريلا مبشورة 400 جرام</t>
  </si>
  <si>
    <t>جبنة مدخنة</t>
  </si>
  <si>
    <t>نادك كريمة طازجة 100 جرام × 2</t>
  </si>
  <si>
    <t>نادك لبن عيران  180مل</t>
  </si>
  <si>
    <t>دانيت كريم كراميل 80 جرام</t>
  </si>
  <si>
    <t>زاد المدينة جبن جودة من حليب الماعز عضوي 150 جرام</t>
  </si>
  <si>
    <t>برايد شرائح جبن  500 جرام</t>
  </si>
  <si>
    <t>جبنة شلل سورية</t>
  </si>
  <si>
    <t>كي دي دي شوكولاتة الحليب 180 مل</t>
  </si>
  <si>
    <t>المراعي شوكولاتة كاسترد 85 جرام</t>
  </si>
  <si>
    <t>المراعي شرائح جبن ساندويتش، 20 شريحة، 400 جرام</t>
  </si>
  <si>
    <t>المراعي حليب بطعم الشوكولاتة مزدوج 225مل</t>
  </si>
  <si>
    <t>السعودية حليب دبل الشوكولاتة 200مل ×15 + 3 مجانا</t>
  </si>
  <si>
    <t>بوك موزاريلا شيدر 400جرام</t>
  </si>
  <si>
    <t>ندى لبنة يونانية 200 جرام - غنية بالبروتين، سلسة وكريمية</t>
  </si>
  <si>
    <t>السعودية حليب طويل الأجل كامل الدسم 200 مل</t>
  </si>
  <si>
    <t>نادك حليب طازج قليل الدسم 800 مل</t>
  </si>
  <si>
    <t>فلورا بلانت كريمة الطبخ 1 لتر</t>
  </si>
  <si>
    <t>برايد جبنة كريمة 900 جرام</t>
  </si>
  <si>
    <t>المراعي حليب شوكولاتة طازج 360 مل</t>
  </si>
  <si>
    <t>بريزيدن شرائح جبن 0% دهون 200 غرام</t>
  </si>
  <si>
    <t>داري لبنة تركية 375جرام</t>
  </si>
  <si>
    <t>السعودية حليب  بنكهة الفراولة 200 مل × 15 + 3 مجاناً</t>
  </si>
  <si>
    <t>ندى حليب كامل الدسم 1.75 لتر</t>
  </si>
  <si>
    <t>الصافي لبن طازج كامل الدسم 850 مل</t>
  </si>
  <si>
    <t>شبيه جبنة كريمية مزدوجة</t>
  </si>
  <si>
    <t>غران جبنة البيرو 200 جرام</t>
  </si>
  <si>
    <t>غنية جبنة بالحبة السوداء</t>
  </si>
  <si>
    <t>بريزيدن إيمنتال جبنة  220 جرام</t>
  </si>
  <si>
    <t>برايد شبيه جبنة الموزاريلا المبشورة 1 كجم</t>
  </si>
  <si>
    <t>ندى حليب بالبروتين بالتمر 320 مل</t>
  </si>
  <si>
    <t>لبنة قليلة الدسم</t>
  </si>
  <si>
    <t>بريزيدن زبدة غير مملحة 200جرام</t>
  </si>
  <si>
    <t>صافيو زبادي التوت المشكل 110جرام</t>
  </si>
  <si>
    <t>ندى زبادي كامل الدسم 1 كج</t>
  </si>
  <si>
    <t>قوت - سمن نقي من حليب الماعز بوزن 400 جرام</t>
  </si>
  <si>
    <t>الأبقار الثلاث جبنة ابيض قليلة الدسم 200جرام</t>
  </si>
  <si>
    <t>السنبلة جبنة موزاريلا مبشورة  500 جرام</t>
  </si>
  <si>
    <t>بوك شبمة موزاريلا وقشقوان مبشورة 180جرام</t>
  </si>
  <si>
    <t>برايد بريميوم تشويس مكعبات جبنة 1.8 كجم</t>
  </si>
  <si>
    <t>بريزيدن زبدة  غير مملحة 100جرام</t>
  </si>
  <si>
    <t>نادك جبن شرائح قليل الدسم 400 جرام</t>
  </si>
  <si>
    <t>نادك شبيه جبنة مثلثات 120 جرام عبوة من 5</t>
  </si>
  <si>
    <t>نادك شبيه جبنة موزاريلا مبشورة 200 جرام</t>
  </si>
  <si>
    <t>صافيو حليب طويل الأجل بنكهة الفانيليا 140 مل × 18</t>
  </si>
  <si>
    <t>السعودية حليب دبل شوكولاتة 18 × 200 مل</t>
  </si>
  <si>
    <t>أكتيفيا بيفيدوس شراب غني بقطع الفاكهة والخوخ والبذور 280 مل</t>
  </si>
  <si>
    <t>السعودية حليب طويل الأجل كامل الدسم - 500 مل</t>
  </si>
  <si>
    <t>دانيت بودينج فانيليا 75 جرام</t>
  </si>
  <si>
    <t>بوك جبن مثلثات 24 قطعة 360 غرام</t>
  </si>
  <si>
    <t>بوك لبنة بالزعتر 180 جرام</t>
  </si>
  <si>
    <t>السعودية حمص كلاسيك 215 جرام</t>
  </si>
  <si>
    <t>فلورا زبدة نباتية مملحة 200 جرام</t>
  </si>
  <si>
    <t>كرافت جبنة شيدر 190 جرام</t>
  </si>
  <si>
    <t>السعودية حليب  كامل الدسم 500 مل × 18</t>
  </si>
  <si>
    <t>لبنة أولكر كاملة الدسم</t>
  </si>
  <si>
    <t xml:space="preserve">  ألبرو بروفس حليب الصويا 1 لتر</t>
  </si>
  <si>
    <t>لونا جبنة شيدر 113جرام × 4</t>
  </si>
  <si>
    <t>جبنة موزاريلا الصافي 900 جرام</t>
  </si>
  <si>
    <t>برايد كلاسيك جبنة  500 جرام</t>
  </si>
  <si>
    <t>المراعي شرائح  جبن الساندويتش 200 غرام حزمة من 3</t>
  </si>
  <si>
    <t>جبن شيدر أحمر ناضج</t>
  </si>
  <si>
    <t>نادك زبادي كامل الدسم 400 جرام</t>
  </si>
  <si>
    <t>نادك شراب لبن عيران 225 مل</t>
  </si>
  <si>
    <t>جالاكسي كيك بار الشوكولاتة 27 جرام × 5</t>
  </si>
  <si>
    <t>أكتيفيا لبن قليل الدسم 375 مل</t>
  </si>
  <si>
    <t>نادك قشطة طازجة قليلة الدسم 100جرام ×2</t>
  </si>
  <si>
    <t>شبيه جبن براميلي</t>
  </si>
  <si>
    <t>صحة - بيض مع فيتامين هـ ×15</t>
  </si>
  <si>
    <t>قوس قزح حليب كامل الدسم 185 مل × 18</t>
  </si>
  <si>
    <t xml:space="preserve"> ندى حليب البروتين بنكهة مانجو ألفونسو 320 مل</t>
  </si>
  <si>
    <t xml:space="preserve">يو-برو زبادي بروتين سادة 150 جرام – 15 جم بروتين، تريبل زيرو: بدون سكر مضاف، بدون دهون، بدون مواد حافظة
</t>
  </si>
  <si>
    <t>بلدي كرات لبنة بزيت الزيتون، 500 جرام</t>
  </si>
  <si>
    <t>بوك جبنة شيدر قابلة للدهن 500جرام</t>
  </si>
  <si>
    <t>المراعي جبنة كريمية قابلة للدهن 900جرام</t>
  </si>
  <si>
    <t>السنبلة جبنة حلوم لايت 250 جرام</t>
  </si>
  <si>
    <t>دانيت حلى بودينج بطعم الكوكيز 75 جرام</t>
  </si>
  <si>
    <t>داري جبنة فيتا</t>
  </si>
  <si>
    <t>زاد ماضينا مشروب حليب جوز الهند النباتي 750 ملي</t>
  </si>
  <si>
    <t>نادك حليب كامل الدسم 360 مل</t>
  </si>
  <si>
    <t>أنكور زبدة غير مملحة 380 جرام</t>
  </si>
  <si>
    <t>شبيه القشطة (محلّي)</t>
  </si>
  <si>
    <t>فيكتوريا جبنة حلومي شرائح  250 جرام</t>
  </si>
  <si>
    <t>السعودية حليب بالشوكولاتة طويل الأجل 1لتر</t>
  </si>
  <si>
    <t>أنالوج شبيه جبنة فيتا هنغارية مزدوجة</t>
  </si>
  <si>
    <t>الصافي حليب قليل الدسم طويل الأجل 1لتر × 12</t>
  </si>
  <si>
    <t>ندى حليب كامل الدسم، 1 لتر</t>
  </si>
  <si>
    <t>صافيو حليب بنكهة الفراولة لتقوية المناعة 185 ملل حزمة من 18</t>
  </si>
  <si>
    <t>بلدي فارمز - خليط الزعتر والجبن 500 جرام</t>
  </si>
  <si>
    <t>لونا قالب شبيه جبنة شيدر 1.8كج</t>
  </si>
  <si>
    <t>جبنة عكاوي سورية</t>
  </si>
  <si>
    <t>بوك جبن كريمي خفيف طبيعي للدهن 200 غرام</t>
  </si>
  <si>
    <t>بلدي كرات لبنة مع الزعتر، 500 جرام</t>
  </si>
  <si>
    <t>فيولايف جبنة كريمية نباتية بالثوم والأعشاب 150 جرام</t>
  </si>
  <si>
    <t>أكتيفيا جو وايلد فراولة 280 مل</t>
  </si>
  <si>
    <t>المراعي حليب بنكهة الفراولة بوزن 150 ملل</t>
  </si>
  <si>
    <t>البقرة الضاحكة جبنة مثلثات الاصلية، قابلة للدهن ، 32 قطعة ، 480جرام</t>
  </si>
  <si>
    <t>المراعي حليب لونيج لايف كامل الدسم 150 مل</t>
  </si>
  <si>
    <t>دانيت ماكس حلى الشوكولاتة 130 جرام × 4</t>
  </si>
  <si>
    <t>المراعي حليب البروتين فراولة وموز 400 مل – 34 جم بروتين – خالي من الدسم – بدون سكر مضاف</t>
  </si>
  <si>
    <t>مزرعة-  جبنة حلومي 250 جرام</t>
  </si>
  <si>
    <t>نادك عيران بالخيار والنعناع شراب اللبن المنعش 225 مل</t>
  </si>
  <si>
    <t>نحول بار كيك فانيليا 23 جرام</t>
  </si>
  <si>
    <t>الصافي لبنة تركية 180جرام</t>
  </si>
  <si>
    <t>لافاش كوي ريت جبنة  قابلة للدهن 24 قطعة 360 جرام</t>
  </si>
  <si>
    <t>بريزيدن جبن شيدر  معالج ومبستر 450 جرام</t>
  </si>
  <si>
    <t>نادك حليب طازج 200 مل</t>
  </si>
  <si>
    <t>فريكو جبن إيمنتال هولندي</t>
  </si>
  <si>
    <t>سكوتي باريستا شراب اللوز 1 لتر</t>
  </si>
  <si>
    <t>المراعي حليب طازج كامل الدسم 360 مل</t>
  </si>
  <si>
    <t>زاد ماضينا - جبنة ماعز 200 جرام</t>
  </si>
  <si>
    <t>الصافي حليب طازج قليل الدسم 1.5 لتر</t>
  </si>
  <si>
    <t>البقرة الضاحكة، جبنة مثلثات قابلة للدهن،  8 قطع، 120 جرام</t>
  </si>
  <si>
    <t>غرانا جبنة بادانو 200 جرام</t>
  </si>
  <si>
    <t>صافيو زبادي بالفراولة، تعزيز المناعة 110 جرام</t>
  </si>
  <si>
    <t>المراعي جبن شيدر قليل الدسم 113جرام</t>
  </si>
  <si>
    <t>جبنة نابلسية</t>
  </si>
  <si>
    <t>جبنة دمياتي</t>
  </si>
  <si>
    <t>الصافي حليب طازج كامل الدسم 850 مل</t>
  </si>
  <si>
    <t>حليب المراعي بنكهة بالتمر 225مل</t>
  </si>
  <si>
    <t>برايد  جبنة لايت 400 جرام</t>
  </si>
  <si>
    <t>ندى حليب طويل الأمد بنكهة الشوكولاتة 185مل× 18 قطعة</t>
  </si>
  <si>
    <t>لبنة جرشية الأردن</t>
  </si>
  <si>
    <t>بلدي كرات لبنة مع البركة، 500 جرام</t>
  </si>
  <si>
    <t>بوك جبن للشوي لايت 200 جرام</t>
  </si>
  <si>
    <t>لونا حليب طويل الأجل بنكهة الفانيليا 200مل × 18</t>
  </si>
  <si>
    <t>نادك شبيه جبنة مثلثات كابتن 120 جرام ×8 قطع</t>
  </si>
  <si>
    <t>الربيع حليب كامل الدسم طويل الأجل 1لتر</t>
  </si>
  <si>
    <t>أمريكانا كيكة الفانيليا  290 جرام</t>
  </si>
  <si>
    <t>برايد جبنة  للطهي (شبية الجبنة )( (10 شرائح) 200 جرام</t>
  </si>
  <si>
    <t>بوك جبنة شيدر شرائح 200 جرام × 10</t>
  </si>
  <si>
    <t>المراعي لبن طازج قليل الدسم مع إضافة فيتامينات 360 مل</t>
  </si>
  <si>
    <t>داري جبنة حلوم ضاري للبرغر 200 جرام</t>
  </si>
  <si>
    <t>الصافي حليب طويل الأجل قليل الدسم 1لتر</t>
  </si>
  <si>
    <t>الصافي لبن طازج قليل الدسم 1.5 لتر</t>
  </si>
  <si>
    <t>المراعي جبن شيدر قليل الدسم 56 جرام</t>
  </si>
  <si>
    <t>فيولايف جبنه كريمية بيضاء يونانية 150 جرام</t>
  </si>
  <si>
    <t>افونمور كريمة الطبخ 1 لتر</t>
  </si>
  <si>
    <t>حليب المراعي بنكهة بنكهة الفراولة 225مل</t>
  </si>
  <si>
    <t>صافيو زبادي بالموز 110 جرام</t>
  </si>
  <si>
    <t>الصافي لبن عيران طازج 1.5 لتر</t>
  </si>
  <si>
    <t>بريزيدنت جبنة إيدام كلاسيكية</t>
  </si>
  <si>
    <t>بوك شبيه جبنة كريم مطبوخة قابلة للدهن 130جرام</t>
  </si>
  <si>
    <t>نادك حليب طازج بالفراولة 360 مل</t>
  </si>
  <si>
    <t>دانيت ميلك شيك بويفر الشوكولاتة 300 مل</t>
  </si>
  <si>
    <t>داري(شبيه جبنه)  ابيض  500 جرام</t>
  </si>
  <si>
    <t>الفيلق بيض ابيض × 6</t>
  </si>
  <si>
    <t>لورباك زبدة غير مملحة 50جرام</t>
  </si>
  <si>
    <t>المراعي جبن شيدر كامل الدسم 56جرام</t>
  </si>
  <si>
    <t>برايد جبنة  خالية من الدهون 400 جرام</t>
  </si>
  <si>
    <t>المراعي حليب طويل الأجل بنكهة الفانيليا 150 مل</t>
  </si>
  <si>
    <t>كي دي دي حليب كامل الدسم 1لتر</t>
  </si>
  <si>
    <t>نادك حليب بنكهة الفراولة 185 مل × 18</t>
  </si>
  <si>
    <t>نادك حليب بالفراولة 200 مل</t>
  </si>
  <si>
    <t>نادك لبنة كاملة الدسم، طويلة الأجل، 375جرام</t>
  </si>
  <si>
    <t>بوك صلصة الطماطم مع الكريمة 500مل</t>
  </si>
  <si>
    <t>بلدي فارمز - زبادي يوناني قليل الدسم 180 جرام</t>
  </si>
  <si>
    <t>فيولايف جبنه  كريمية  أصلية 150 غرام</t>
  </si>
  <si>
    <t>السعودية حليب دبل شوكولاتة 200 مل</t>
  </si>
  <si>
    <t>نادك شبيه جبنة ابيض كاملة الدسم 500 جرام</t>
  </si>
  <si>
    <t>السعودية حليب طويل الأجل كامل الدسم 2 لتر × 6 قطع</t>
  </si>
  <si>
    <t>لونا جبنة شيدر مطبوخة 113جرام</t>
  </si>
  <si>
    <t>السعودية حليب بالفراولة 200 ملل</t>
  </si>
  <si>
    <t>السعودية حليب طويل الأجل قليل الدسم 200 مل</t>
  </si>
  <si>
    <t>جبن الغنم الأبيض البلغاري</t>
  </si>
  <si>
    <t>المراعي شراب زيادي بروتين بطعم المانجو 250مل (25جرام من البروتين)</t>
  </si>
  <si>
    <t>بوك صلصة البشاميل بالجبنة 500 مل</t>
  </si>
  <si>
    <t>زاد ماضينا - جبنة فيتا بيو 150 جرام</t>
  </si>
  <si>
    <t>حليب السعودية طويل الأجل بنكهة الفراولة 125مل</t>
  </si>
  <si>
    <t>فرشلي جبنة رومانو مبشورة  235 جرام</t>
  </si>
  <si>
    <t>نادك حليب غزل البنات معقم بدرجة حرارة عالية 125 مل</t>
  </si>
  <si>
    <t>نادك حليب طويل الأجل بنكهة الشوكولاتة 125مل</t>
  </si>
  <si>
    <t>يوبرو بروتين حليب الفراولة 300 مل</t>
  </si>
  <si>
    <t>نادك زبادي طازج خالي الدسم 170 جرام</t>
  </si>
  <si>
    <t>لونا جبنة ابيض  900جرام</t>
  </si>
  <si>
    <t>ندى حليب طازج كامل الدسم 800 مل</t>
  </si>
  <si>
    <t>تلال غوار مراصيع 250 جرام</t>
  </si>
  <si>
    <t>السعودية حليب موز  200 مل × 15 + 3 مجاناً</t>
  </si>
  <si>
    <t>كي دي دي حليب طويل الأجل بنكهة الفراولة 180 مل × 18</t>
  </si>
  <si>
    <t>السنبلة جبنة موزاريلا مبشورة  200 جرام</t>
  </si>
  <si>
    <t>برايد كريمة خفق 1 لتر</t>
  </si>
  <si>
    <t>ندى حليب طويل الأجل قليل الدسم 1لتر</t>
  </si>
  <si>
    <t>الصافي شرائح جبنة ساندويتش 400 جرام</t>
  </si>
  <si>
    <t>كي دي دي حليب موز طويل الأجل 180 مل × 18 قطعة</t>
  </si>
  <si>
    <t>بوك جبنة شرائح قليلة الدسم  - 200 جرام</t>
  </si>
  <si>
    <t>أمريكانا كيكة الشوكولاتة 290 جرام</t>
  </si>
  <si>
    <t>أكتيفيا لبن كامل الدسم 375 مل</t>
  </si>
  <si>
    <t>السنبلة جبنة حلوم 250 جرام</t>
  </si>
  <si>
    <t>نادك حليب بالشوكولاتة 200 مل</t>
  </si>
  <si>
    <t>المراعي جبن شيدر كامل الدسم 113جرام</t>
  </si>
  <si>
    <t>نادك شرائح جبنة قليلة الدسم 200 جرام × 4</t>
  </si>
  <si>
    <t>المراعي جبنة كريمية 432 غرام حزمة من 2</t>
  </si>
  <si>
    <t>برايد كريمة الطبخ  1 لتر</t>
  </si>
  <si>
    <t>فرسانا زبدة غير مملحة 100جرام</t>
  </si>
  <si>
    <t>السعودية حليب بالشوكولاتة والكراميل 200 مل</t>
  </si>
  <si>
    <t>نادك حليب تافي معقم بدرجة حرارة عالية 125 مل ×18</t>
  </si>
  <si>
    <t>فرسانا   (شبيه جبنة)جبنة سلايس 200 جرام × 2 + 1 مجاناً</t>
  </si>
  <si>
    <t>نادك الهلال حليب كامل الدسم طويل الأجل 185 مل</t>
  </si>
  <si>
    <t>برايد جبنة  شرائح 200 جرام</t>
  </si>
  <si>
    <t>السعودية حليب بالتمر طويل الأجل 200 مل</t>
  </si>
  <si>
    <t>نادك لبنة كاملة الدسم 700جرام</t>
  </si>
  <si>
    <t>المراعي حليب بنكهة الفراولة 200 ملل</t>
  </si>
  <si>
    <t>فريكو جبنة جودا بالكمون والجبنة</t>
  </si>
  <si>
    <t>بريزيدنت كريمة الطبخ  1 لتر</t>
  </si>
  <si>
    <t>المراعي جبنة مثلثات 120 جرام × 8 قطع</t>
  </si>
  <si>
    <t>نادك لبن كامل الدسم 340 مل</t>
  </si>
  <si>
    <t>بريزيدنت جبنة مربعات، عبوة 12 قطعة، 168 جرام</t>
  </si>
  <si>
    <t>السعودية حليب خالي الدسم 200 مل</t>
  </si>
  <si>
    <t>اكتيميل مشروب ألبان بالليمون والزنجبيل 93 مل × 4</t>
  </si>
  <si>
    <t>شبيه جبنة فيتا أوروبية</t>
  </si>
  <si>
    <t>أمول زبدة مملحة مبسترة 100 جرام</t>
  </si>
  <si>
    <t>نادك حليب طويل الأجل بنكهة الفانيليا 125 مل</t>
  </si>
  <si>
    <t>سفن دايز كيك الشوكولاتة 400جرام</t>
  </si>
  <si>
    <t>السعودية حليب بالمانجو 200 مل × 15 + 3 مجانًا</t>
  </si>
  <si>
    <t>باسكن روبينز حليب بطعم الفانيلا، 180 مل</t>
  </si>
  <si>
    <t xml:space="preserve"> ابوالولد جبنة مثلثات ، 24 قطعة ، 360جرام</t>
  </si>
  <si>
    <t>فيولايف جبنة  نباتي موزاريلا 200 جرام</t>
  </si>
  <si>
    <t>السعودية حمص بالفلفل الحار 215 جرام</t>
  </si>
  <si>
    <t>مرادبك جبنة حلومي 4 شرائح 200 جرام</t>
  </si>
  <si>
    <t>أمريكانا كيكة الرخامي  290 جرام</t>
  </si>
  <si>
    <t>ديليزيا جبنة شيدر برتقالية</t>
  </si>
  <si>
    <t>باربلز بروتين ميلك شيك، فراولة330 مل</t>
  </si>
  <si>
    <t>نادك حليب طازج مانجو 360 مل</t>
  </si>
  <si>
    <t>كي دي دي حليب طويل الأجل 180مل</t>
  </si>
  <si>
    <t>الصافي قشطة 100 جرام</t>
  </si>
  <si>
    <t>السعودية حليب بنكهة الفانيليا 125 مل</t>
  </si>
  <si>
    <t>المراعي حليب طازج قليل الدسم 500 مل</t>
  </si>
  <si>
    <t>المراعي متبل مدخن 250جرام</t>
  </si>
  <si>
    <t>ندى حليب طويل الأجل قليل الدسم 1 لتر × 12 قطعة</t>
  </si>
  <si>
    <t>المراعي حليب قليل الدسم طويل الأجل 200مل</t>
  </si>
  <si>
    <t>المراعي لبن بنكهة المانجو 340 مل</t>
  </si>
  <si>
    <t>نادك حليب طويل الأجل بالفراولة 125 مل</t>
  </si>
  <si>
    <t>صافيو حليب طويل الأجل  بنكهة الفانيليا185 مل × 18</t>
  </si>
  <si>
    <t>المراعي جبنة بيضاء كريمية قايلة للدهن 120جرام</t>
  </si>
  <si>
    <t>ناهول ميني كيك رول فانيليا 23 جرام</t>
  </si>
  <si>
    <t>دانيت حلى بودينج بطعم غزل البنات 75 جرام</t>
  </si>
  <si>
    <t>الربيع حليب شوكولاتة بسكويت 125 مل × 18</t>
  </si>
  <si>
    <t>المراعي جبنه  كريمية  مطبوخة 1.1 كغ</t>
  </si>
  <si>
    <t>السعودية حليب بالموز طويل الأجل 200 مل × 18</t>
  </si>
  <si>
    <t>المراعي جبنة مربعات 12 قطعة × 3 - 216 جرام</t>
  </si>
  <si>
    <t>المراعي حليب طويل الأجل بنكهة الفراولة 200 مل × 18</t>
  </si>
  <si>
    <t>لونا قهوة مثلجة، إسبريسو بروتيني، 240 مل</t>
  </si>
  <si>
    <t>دومتي بلس كاملة الدسم شبيه جبنة بيضاء فيتا بطعم الزيتون – غنية بالحليب – 125 جرام</t>
  </si>
  <si>
    <t>السنبلة جبنة موزاريلا مبشورة  1 كجم</t>
  </si>
  <si>
    <t>نادك الهلال حليب كامل الدسم بطعم الفراولة 185 مل</t>
  </si>
  <si>
    <t>جبنة بيضاء بلغارية</t>
  </si>
  <si>
    <t>كي دي دي حليب طويل الأمد كهة الفراولة 180 ملل</t>
  </si>
  <si>
    <t>السعودية بابا غنوج 200 جرام</t>
  </si>
  <si>
    <t>دانيت ميلك شيك فانيليا و شوكولاتة 300 مل</t>
  </si>
  <si>
    <t>نادك لبنة الزعتر المميزة 180 جرام</t>
  </si>
  <si>
    <t>بوك جبنة سلايس 200 جرام</t>
  </si>
  <si>
    <t>دانيت ماكس حلى بالفانيليا 130 جرام × 4</t>
  </si>
  <si>
    <t>الوليمة - شبيه جبنة الموزاريلا</t>
  </si>
  <si>
    <t>كي دي دي حليب بنكهة الشوكولاتة 125 مل</t>
  </si>
  <si>
    <t>فلورا زبدة نباتية غير مملحة 100 جرام + 13% مجاناً</t>
  </si>
  <si>
    <t>الطيب - لبنة على الطريقة التركية</t>
  </si>
  <si>
    <t>بلدي فارمز - خليط الجبن والثوم 500 جرام</t>
  </si>
  <si>
    <t>المزرعة جبنة فيتا قليلة الدسم 200جرام</t>
  </si>
  <si>
    <t>فيولايف شوكولاتة قابلة للدهن نباتية 150 جرام</t>
  </si>
  <si>
    <t>نادك لبنة كاملة الدسم 180جرام</t>
  </si>
  <si>
    <t>بلدي فارمز - لبنة على الطريقة التركية 400 جرام</t>
  </si>
  <si>
    <t>بلبريسو جبنه بالزعتر 200 غرام</t>
  </si>
  <si>
    <t>دانيت حلى بودينج بطعم الكراميل 75 جرام</t>
  </si>
  <si>
    <t>جالاكسي كيك بار الكراميل 27 جرام × 5</t>
  </si>
  <si>
    <t>برايد جبنة سلايس 20 شريحة (400 جرام)</t>
  </si>
  <si>
    <t>السعودية حليب بنكهة الشوكولاتة طويل الأجل 200مل</t>
  </si>
  <si>
    <t>داري(شبيه جبنه)  ابيض  200 جرام</t>
  </si>
  <si>
    <t>بارميزان جران بياراغي إيطالي – جبنة إيطالية</t>
  </si>
  <si>
    <t>صافيو حليب ساده 185مل</t>
  </si>
  <si>
    <t>مزرعة ألبان الشكعة جبن الغنم النابلسي 150 غرام</t>
  </si>
  <si>
    <t>المراعي جبن أزرق 500جرام × 3</t>
  </si>
  <si>
    <t>بوك جبنة مثلثات 120جرام × 8 قطع</t>
  </si>
  <si>
    <t>الصافي - لبن بنكهة الفراولة 180 مل</t>
  </si>
  <si>
    <t>لونا قهوة مثلجة بالبروتين بنكهة الكراميل 240 مل</t>
  </si>
  <si>
    <t>حليب موز صافيو 185 مل × 18</t>
  </si>
  <si>
    <t>نادك جبنة شيدر مطبوخة قابلة للدهن 500جرام</t>
  </si>
  <si>
    <t>الصافي قشطة طازجة فاخرة 100 جرام</t>
  </si>
  <si>
    <t>ألبرو شراب من الصويا والشوفان بطعم الكراميل للباريستا 750مل</t>
  </si>
  <si>
    <t>ندى لبن كامل الدسم 800 مل</t>
  </si>
  <si>
    <t>دانيت ماكس حلى الشوكولاتة 130 جرام</t>
  </si>
  <si>
    <t>جبن دمياطي معتق</t>
  </si>
  <si>
    <t>جلاكسي حليب الشوكولاتة بالكراميل 220 مل</t>
  </si>
  <si>
    <t>السعودية حليب بنكهة الموز طويل الأجل 125مل</t>
  </si>
  <si>
    <t>نادك حليب بالشوكولاتة 360 مل</t>
  </si>
  <si>
    <t>صافيو حليب بالفانيلا 140 مل</t>
  </si>
  <si>
    <t>الربيع حليب طويل الأجل خالي من الدسم 185 مل × 18</t>
  </si>
  <si>
    <t>أمول زبدة مملحة مبسترة 500 جرام</t>
  </si>
  <si>
    <t>نادك حليب طازج قليل الدسم 200 مل</t>
  </si>
  <si>
    <t>صحة بيض الغني بفيتامين دال 15 قطعة</t>
  </si>
  <si>
    <t>شبيه جبنة صفراء مصرية على الطريقة الاسطنبولية</t>
  </si>
  <si>
    <t>باربلز ملك شيك بالفانيلا 330 مل</t>
  </si>
  <si>
    <t>دانيت ماكس حلى الفانيليا 130 جرام</t>
  </si>
  <si>
    <t>بلدي فارمز - لبنة تركية 180 جرام</t>
  </si>
  <si>
    <t>دومتي بلس كاملة الدسم شبيه جبنة بيضاء فيتا – غنية بالحليب – 125 جرام</t>
  </si>
  <si>
    <t>زانيتي جرانا بادانو جبنة 200 جرام</t>
  </si>
  <si>
    <t>جالاكسي حليب الشوكولاتة بالبندق 220 مل</t>
  </si>
  <si>
    <t>ندى زبادي كامل الدسم 170 جرام</t>
  </si>
  <si>
    <t>المراعي حليب طازج بنكهة الفراولة 360 مل</t>
  </si>
  <si>
    <t>المراعي جبن شيدر كامل الدسم 200جرام</t>
  </si>
  <si>
    <t>فيولايف لبنة كريمية 150 جرام</t>
  </si>
  <si>
    <t>المراعي حليب كراميل مملح 225مل</t>
  </si>
  <si>
    <t>جالاكسي كيك بار الفانيليا 27 جرام × 5</t>
  </si>
  <si>
    <t>لونا جبنة ابيض اللون 500جرام</t>
  </si>
  <si>
    <t>جالاكسي حليب الشوكولاتة المميز 220 مل</t>
  </si>
  <si>
    <t>فيتنيل جبنة حلوم  250 جرام</t>
  </si>
  <si>
    <t>فلورا زبدة غير مملحة 400 جرام + 100 جرام مجاناً</t>
  </si>
  <si>
    <t>المراعي جبن شيدر قابل للدهن 900جرام</t>
  </si>
  <si>
    <t xml:space="preserve">ريزو سكوتي شراب جوز الهند الحيوي 1 لتر </t>
  </si>
  <si>
    <t>فلورا زبدة نباتية غير مملحة 200 جرام</t>
  </si>
  <si>
    <t>المزرعة الشكعة جبنه سنابل 125 غرام</t>
  </si>
  <si>
    <t>نادك حليب مانجو 200 مل</t>
  </si>
  <si>
    <t>السعودية حليب  بالتمر طويل الأجل 200 مل 18 قطعة</t>
  </si>
  <si>
    <t>ندى جونيور حليب بالشوكولاتة 115مل</t>
  </si>
  <si>
    <t>فرسانا  (شبيه جبنة) شيدر 1 كجم</t>
  </si>
  <si>
    <t>نادك شبيه جبنة كريمية قابلة للدهن 240 جرام</t>
  </si>
  <si>
    <t>نادك لبن طازج بطعم الفراولة 340مل</t>
  </si>
  <si>
    <t>جووت زبدة من حليب الماعز غير مملحة 200 جرام</t>
  </si>
  <si>
    <t>الربيع  زين حليب  كامل 125 مل</t>
  </si>
  <si>
    <t>جالاكسي كيك بار الشوكولاتة 27 جرام</t>
  </si>
  <si>
    <t>فرسان  (شبيه جبنة) جبن موزاريلا 1 كجم</t>
  </si>
  <si>
    <t>كيكة الفوشيه بالفواكه 220 جرام</t>
  </si>
  <si>
    <t>نادك لبنة الشطة المميزة 180 جرام</t>
  </si>
  <si>
    <t>صافيو حليب طويل الاجل بالشوكولاتة 140مل</t>
  </si>
  <si>
    <t>صافيو حليب طويل الأجل بنكهة الموز 140مل × 18</t>
  </si>
  <si>
    <t>السعودية حليب بنكهة المانجو 200 مل</t>
  </si>
  <si>
    <t>المراعي حليب طويل الأجل بنكهة الموز 150 مل</t>
  </si>
  <si>
    <t>بوني حليب بنكهة الشوكولاتة 250 مل</t>
  </si>
  <si>
    <t>أفونمور بروفيشونل كريمة خفق 1 لتر</t>
  </si>
  <si>
    <t>لونا قهوة مثلج بالكراميل 240 مل</t>
  </si>
  <si>
    <t>المراعي حليب طازج بنكهة المانجو 360 مل</t>
  </si>
  <si>
    <t>بلدي كرات لبنة صغيرة سادة</t>
  </si>
  <si>
    <t>جوت - شبيه جبن ماعز كريمية 500 جرام</t>
  </si>
  <si>
    <t>نادك حليب طويل الأجل من حليب الأبقار 100% خالي الدسم 1 لتر ×4</t>
  </si>
  <si>
    <t>جالاكسي كيك بار البندق 27 جرام × 5</t>
  </si>
  <si>
    <t>فرسانا   (شبيه جبنة) جبن شيدر  500 جرام</t>
  </si>
  <si>
    <t>الصافي لبن بنكهة المانجو 340 مل</t>
  </si>
  <si>
    <t>السعودية حليب بنكهة الموز طويل الأجل 200مل</t>
  </si>
  <si>
    <t>فيولايفي جبنة شيدر نباتي بنكهة الشيدر 140 جرام</t>
  </si>
  <si>
    <t>بلدي لبنة تركية</t>
  </si>
  <si>
    <t>ديليزيا جبنة شيدر بيضاء</t>
  </si>
  <si>
    <t>ديلمير جبن ماعز  150 جرام</t>
  </si>
  <si>
    <t>كيري جبنة كريمية برطمان زجاجي 900 غرام</t>
  </si>
  <si>
    <t>فرسانا زبدة  غير مملحة 400جرام</t>
  </si>
  <si>
    <t>فرسانا شرائح جبنة أنالوج 200 جرام</t>
  </si>
  <si>
    <t>كي دي دي حليب بنكهة الموز 180مل</t>
  </si>
  <si>
    <t>بلدي - كرات لبنة مع حبة البركة صغيرة</t>
  </si>
  <si>
    <t>ياسمين شبيه جبن شيدر 1.8 كجم</t>
  </si>
  <si>
    <t>الربيع  زين حليب  بالشوكولاتة 125 مل</t>
  </si>
  <si>
    <t>الصافي لبن بنكهة الفراولة 340 مل</t>
  </si>
  <si>
    <t>لونا حليب الشوكولاتة المعقم 200مل</t>
  </si>
  <si>
    <t>لونا قهوة مثلجة 240 مل</t>
  </si>
  <si>
    <t>سكوتي باريستا شراب الصويا بايو 1 لتر</t>
  </si>
  <si>
    <t>الربيع حليب طويل الأجل بالشوكولاتة 185 مل × 18</t>
  </si>
  <si>
    <t>صافيو حليب بالفراولة 140 مل</t>
  </si>
  <si>
    <t>لونا حليب طويل الأجل بنكهة الشوكولاتة 200مل × 18</t>
  </si>
  <si>
    <t>نادك شبيه جبنة كريمية بيضاء 900 جرام</t>
  </si>
  <si>
    <t>فرسانا  (شبيه جبنة) موزاريلا مبشور 500 جرام</t>
  </si>
  <si>
    <t>فرسانا زبدة  غير مملحة 100جرام</t>
  </si>
  <si>
    <t>لونا حليب كامل الدسم 200مل</t>
  </si>
  <si>
    <t>فرسانا لبنة 400جرام</t>
  </si>
  <si>
    <t>جبنة موزاريلا الصافي 500 جرام</t>
  </si>
  <si>
    <t>الصافي شرائح جبنة للساندويتش 200 جرام</t>
  </si>
  <si>
    <t>فرسان (شبيه جبنة)موزاريلا أ 200 جرام</t>
  </si>
  <si>
    <t>الربيع حليب طويل الأجل بالفراولة 185 مل × 18</t>
  </si>
  <si>
    <t>نادك حليب تافي معقم بدرجة حرارة عالية 125 مل</t>
  </si>
  <si>
    <t>البقرة الضاحكة جبنة كريمية قابلة للدهن 900 جرام</t>
  </si>
  <si>
    <t>نادك حليب طازج منكه بالكراميل المملح 225 مل</t>
  </si>
  <si>
    <t>البقرة الضاحكة جبنة كريمية قابلة للدهن 500×2 جرام</t>
  </si>
  <si>
    <t>نادك شبيه جبنة كريمية في برطمان 140 جرام</t>
  </si>
  <si>
    <t>فيولايف شريحة جبنة  بنكهة الموزاريلا 140 جرام</t>
  </si>
  <si>
    <t>جالاكسي كيك بار الكراميل 27 جرام</t>
  </si>
  <si>
    <t>الربيع حليب كامل الدسم 185 مل</t>
  </si>
  <si>
    <t>الربيع  زين حليب  بالفراولة 125 مل</t>
  </si>
  <si>
    <t>جالاكسي كيك بار البندق 27 جرام</t>
  </si>
  <si>
    <t>باربلز بروتين ميلك شيك، موز 330 مل</t>
  </si>
  <si>
    <t>لافاش كي ري شرائح جبنة الشيدر  480 غرام</t>
  </si>
  <si>
    <t>مراد بي - جبنة نابلسية 200جرام</t>
  </si>
  <si>
    <t>نادك لبن طازج بطعم المانجو 340مل</t>
  </si>
  <si>
    <t>لونا قهوة بارده  موكا 240 مل</t>
  </si>
  <si>
    <t>أمريكانا كيك شوكولاتة 290 جرام</t>
  </si>
  <si>
    <t>الربيع حليب بسكويت 185 مل × 18</t>
  </si>
  <si>
    <t>الربيع حليب بسكويت 185 مل</t>
  </si>
  <si>
    <t>نادك شبيه جبنة مثلثات 240 جرام</t>
  </si>
  <si>
    <t>بريستين - كريمة متعددة الأغراض (الطبخ، الخفق، الصب) 1 لتر</t>
  </si>
  <si>
    <t>صافيو حليب طويل الأجل بالشوكولاتة 185 مل</t>
  </si>
  <si>
    <t>الربيع حليب طويل الأجل بالشوكولاتة 185 مل</t>
  </si>
  <si>
    <t>نادك حليب طويل الأجل بنكهة الشوكولاتة 185مل</t>
  </si>
  <si>
    <t>ندى دانيه حليب بالفراولة 185مل</t>
  </si>
  <si>
    <t>نادك لبن طازج بطعم المانجو 180مل</t>
  </si>
  <si>
    <t>صافيو حليب بطعم الفانيليا طويل الأجل 185مل</t>
  </si>
  <si>
    <t>السعودية حليب بنكهة المانجو 200مل ×18</t>
  </si>
  <si>
    <t>بلدي - كرات لبنة صغيرة بالفلفل الحار</t>
  </si>
  <si>
    <t>بوني - مشروب حليب بنكهة الفراولة 250 مل</t>
  </si>
  <si>
    <t>ندى جونيور حليب طويل الأجل بنكهة الفراولة 125مل</t>
  </si>
  <si>
    <t>البقرة الضاحكة جبنة مثلثات الاصلية قابلة للدهن ، 16 قطعة ، 240جرام</t>
  </si>
  <si>
    <t>ندى لبن كامل الدسم 360 مل</t>
  </si>
  <si>
    <t>نادك شبيه جبنة مثلثات 360 جرام</t>
  </si>
  <si>
    <t>حليب لونا طويل الأمد بنكهة الموز 200 مل</t>
  </si>
  <si>
    <t>ندى حليب بالفراولة 200 مل</t>
  </si>
  <si>
    <t>جالكسي حليب شوكولاتة مميزة، 1 لتر</t>
  </si>
  <si>
    <t>برايد (شبيه جبنة)  للطهي 400 جرام</t>
  </si>
  <si>
    <t>فرسانا (شبيه جبنة) موزاريلا مبشورة 1 كجم</t>
  </si>
  <si>
    <t>برايد شرائح جبن  250 جرام</t>
  </si>
  <si>
    <t>فرسانا  (شبيه جبنة) موزاريلا مبشورة 200 جرام</t>
  </si>
  <si>
    <t>فرسانا  (شبيه جبنة) جبن شيدر 1 كجم</t>
  </si>
  <si>
    <t>بلدي كرات لبنة مع الفلفل الحار، 500 جرام</t>
  </si>
  <si>
    <t>يوني جولد زبدة غير مملحة مخلوطة</t>
  </si>
  <si>
    <t>صافيو حليب طويل الأجل بالموز 140مل</t>
  </si>
  <si>
    <t>صافيو حليب طويل الأجل بنكهة الفراولة 185 مل</t>
  </si>
  <si>
    <t>المراعي جبن شيدر قابلة للدهن 200 جرام</t>
  </si>
  <si>
    <t>ندى حليب طويل الأجل بنكهة الشوكولاتة 185 مل</t>
  </si>
  <si>
    <t>الربيع حليب الفراولة 185 مل</t>
  </si>
  <si>
    <t>لونا ايس كابتشينو كامل 240 مل</t>
  </si>
  <si>
    <t>الربيع حليب البسكويت بالشوكولاتة 125 مل</t>
  </si>
  <si>
    <t>ندى حليب طويل الأمد كامل الدسم 200 مل</t>
  </si>
  <si>
    <t>آرلا بودينج بروتين بنكهة لاتيه البندق 200 جرام</t>
  </si>
  <si>
    <t>نادك حليب طويل الأجل بنكهة الفراولة 185مل</t>
  </si>
  <si>
    <t>قوس قزح حليب  كامل الدسم 185 مل</t>
  </si>
  <si>
    <t>صافيو حليب بطعم الموز طويل الأجل 185مل</t>
  </si>
  <si>
    <t>هناء حليب بنكهة الموز 240 مل</t>
  </si>
  <si>
    <t>السعودية حليب بالفانيليا 200 ملل</t>
  </si>
  <si>
    <t>أكتيفيا زبادي جو بالكيوي والفراولة 280 مل</t>
  </si>
  <si>
    <t>بلدي فارمز - خليط مكدوس وجبنة 500 جرام</t>
  </si>
  <si>
    <t>المراعي فول مع الحمص 50 جرام</t>
  </si>
  <si>
    <t>السعودية حليب صويا بنكهة الفانيلا 1لتر</t>
  </si>
  <si>
    <t>نادك زبادي  سادة 160 جرام</t>
  </si>
  <si>
    <t>نادك حليب طويل الأجل 200 مل</t>
  </si>
  <si>
    <t>الصافي لبن كامل الدسم 360مل</t>
  </si>
  <si>
    <t>الصافي حليب طازج كامل الدسم 360 مل</t>
  </si>
  <si>
    <t>المراعي حليب طويل الأجل كامل الدسم 200 مل</t>
  </si>
  <si>
    <t>نادك زبادي طازج قليل الدسم 2 كجم</t>
  </si>
  <si>
    <t xml:space="preserve">دومتي فيتا بلس شبيه جبنة بيضاء كاملة الدسم – غنية بالحليب – 250 جرام
</t>
  </si>
  <si>
    <t>ندى زبادي كامل الدسم 170 جرام × 6</t>
  </si>
  <si>
    <t>ألبرو مشروب فانيليا باريستا مصنوع من الشوفان والصويا 750 مل</t>
  </si>
  <si>
    <t>نادك حليب بنهكة الموز 125مل</t>
  </si>
  <si>
    <t>المراعي حليب طازج قليل الدسم مع إضافة فيتامينات 180 مل</t>
  </si>
  <si>
    <t>باسكن روبينز حليب بطعم الشوكولاتة، 180 مل</t>
  </si>
  <si>
    <t>بالاد حليب كفير، فراولة، 225 مل</t>
  </si>
  <si>
    <t>الصافي حليب منزوع الدسم 1لتر</t>
  </si>
  <si>
    <t>دانيت حلى بودينج بطعم الفانيليا 75 جرام + كرات الشوكولاتة 7 جرام</t>
  </si>
  <si>
    <t xml:space="preserve">نادك لبنة زيتون فاخرة طرية وكريمية 180 جرام </t>
  </si>
  <si>
    <t xml:space="preserve">دومتي فيتا جبنة بيضاء – شبيه جبن فيتا كامل الدسم – 700 جرام
</t>
  </si>
  <si>
    <t>دومتي فيتا بلس شبيه جبنة بيضاء بطعم الزيتون كاملة الدسم – غنية بالحليب – 250 جرام</t>
  </si>
  <si>
    <t>سفن ديز كيك بار الشوكولاتة 200 جرام</t>
  </si>
  <si>
    <t>جالاكسي كيك بار الفانيليا 27 جرام</t>
  </si>
  <si>
    <t>لونا حليب طويل الأمد بنكهة الفانيلا 200 مل</t>
  </si>
  <si>
    <t>دومتي شبيه جبن أبيض دبل كريم – 700 جرام</t>
  </si>
  <si>
    <t>الصافي حليب طازج كامل الدسم 180 مل</t>
  </si>
  <si>
    <t>المراعي جبنه فيتا عالية الجودة كاملة الدسم 400 غرام</t>
  </si>
  <si>
    <t>بلدي جبنة فيتا</t>
  </si>
  <si>
    <t>داري جبنة حلومي  مع فلفل أحمر حار 225 جرام</t>
  </si>
  <si>
    <t>السعودية حليب كامل الدسم طويل الأجل 125 مل</t>
  </si>
  <si>
    <t>دانيت حلى بودينج بطعم الشوكولاتة 75 جرام + قطع شوكولاتة 7 جرام</t>
  </si>
  <si>
    <t>تلال غوار - عجينة كنافة 600 جرام</t>
  </si>
  <si>
    <t>بلدي فارمز - خليط الشنكليش والجبن 500 جرام</t>
  </si>
  <si>
    <t>فيولايف جبنه بيضاء يونانية 230 غرام</t>
  </si>
  <si>
    <t>بلدي جبنة فيتا بزيت الزيتون، 500 جرام</t>
  </si>
  <si>
    <t>بلدي فارمز - جبنة فيتا خالية من اللاكتوز 150 جرام</t>
  </si>
  <si>
    <t>لبن نادك الطازج بنكهة الفراولة 180 مل</t>
  </si>
  <si>
    <t>ديلامير حليب ماعز كامل طويل الأجل 1 لتر</t>
  </si>
  <si>
    <t>إيل أند فير كريمة طبخ 500 مل</t>
  </si>
  <si>
    <t>بلدي كرات لبنة صغيرة مع زعتر</t>
  </si>
  <si>
    <t>الصافي كريمة طبخ 1 لتر</t>
  </si>
  <si>
    <t>يوبرو حليب ماتشا بروتين 300 مل</t>
  </si>
  <si>
    <t>فيولايف جبنة  نباتية بنكهة الشيدر 200 جرام</t>
  </si>
  <si>
    <t>بوني حليب بنكهة الموز 250 مل</t>
  </si>
  <si>
    <t>ندى عزوز حليب بالشوكولاتة 185 مل</t>
  </si>
  <si>
    <t>فيولايف شرائح الجبن بالنكهة الأصلية 140 غرام</t>
  </si>
  <si>
    <t>ندى جونيور حليب 125 ملل</t>
  </si>
  <si>
    <t>نادك حليب طازج منكه بالشوكولاتة وجوز الهند 225 مل</t>
  </si>
  <si>
    <t>هناء حليب بنكهة الفراولة 240 مل</t>
  </si>
  <si>
    <t>فوشيا كعكة الفانيليا المستديرة 70 جرام</t>
  </si>
  <si>
    <t>فوسيا كب كيك سادة</t>
  </si>
  <si>
    <t>لونا قهوة مثلجة بالبروتين كراميل ‎240مل × 24‎</t>
  </si>
  <si>
    <t>سنيكرز حليب بنكهة الشوكولاتة (قليل الدسم) 414 مل</t>
  </si>
  <si>
    <t>برايد بلوك - خفيف ولذيذ قليل الدسم - 1 كج</t>
  </si>
  <si>
    <t>يو-برو زبادي بروتين تريبل زيرو بنكهة التوت المشكل 150 جرام – 15 جم بروتين، بدون سكر مضاف، خالٍ من الدهون والمواد الحافظة</t>
  </si>
  <si>
    <t>ريفليتس دي فرانس بريات سافارين 200 جرام</t>
  </si>
  <si>
    <t>لونا قهوة مثلجة بالبروتين إسبريسو ‎240مل × 24‎</t>
  </si>
  <si>
    <t>أمول زبدة غير مملحة 500 جرام</t>
  </si>
  <si>
    <t>حليب شوكولاتة تويكس بنكهة (قليل الدسم) 414 جرام</t>
  </si>
  <si>
    <t>ندى بسمة حليب طويل الأجل كامل الدسم 185مل</t>
  </si>
  <si>
    <t>ميلكي واي حليب شوكولاتة بنكهة (قليل الدسم) 414 جرام</t>
  </si>
  <si>
    <t>البقرة الضاحكة، جبنة مثلثات قابلة للدهن، عبوة من 8 قطعة × 4 ، 32 قطعة ، 480 جرام</t>
  </si>
  <si>
    <t>Altayeb White Cheese Low Salt</t>
  </si>
  <si>
    <t>Danette Chocolate Pudding 75g &amp;times; 7 + 1 Free</t>
  </si>
  <si>
    <t>Puck Halloumi Full Fat Cheese 200g</t>
  </si>
  <si>
    <t>Almarai Whipping Cream 1L</t>
  </si>
  <si>
    <t>Almarai Halloumi Cheese Full Fat 200g</t>
  </si>
  <si>
    <t>Almarai Low Fat and less Salt lite Feta Cheese 200g</t>
  </si>
  <si>
    <t>Nadec Full Fat Long Life Milk 200ml&amp;times; 18</t>
  </si>
  <si>
    <t>Saha White Eggs Medium x15 Eggs</t>
  </si>
  <si>
    <t>Qaryah White Eggs Special &amp;ndash; 30 Pieces</t>
  </si>
  <si>
    <t>Activia Kefir Drink 180ml</t>
  </si>
  <si>
    <t>Nadec Whipping Cream 1L</t>
  </si>
  <si>
    <t>Nada greek Yoghurt Plain 160g</t>
  </si>
  <si>
    <t>Almarai Breakfast Lite Cream 100g</t>
  </si>
  <si>
    <t>Alsafi Cream Cheese Jar 500g</t>
  </si>
  <si>
    <t>Almarai Low Fat Fresh Laban 2L</t>
  </si>
  <si>
    <t>Dari Turkish Labneh 700g</t>
  </si>
  <si>
    <t>Kiri Spreadable Cream Cheese Squares, 24 portions x 2 packs, 48 portions, 800g</t>
  </si>
  <si>
    <t>Activia Yogurt Full Fat 150g x5 + 1 Free</t>
  </si>
  <si>
    <t>Almarai Processed Cream Cheese 900g Pack of 2</t>
  </si>
  <si>
    <t>Kdd Milk Chocolate Long Life 180 mlx18Pieces</t>
  </si>
  <si>
    <t>Nadec Fresh Yoghurt Low Cream 170g &amp;times; 6</t>
  </si>
  <si>
    <t>President Cheddar Sandwich Cheese Slices 400g</t>
  </si>
  <si>
    <t>Nadec Analogue Unsalted Butter 1kg</t>
  </si>
  <si>
    <t>Almarai Full Cream Feta Cheese 200g</t>
  </si>
  <si>
    <t>Almarai Natural Butter Unsalted 100g</t>
  </si>
  <si>
    <t>Nadec Fresh Yogurt Full Cream 2kg</t>
  </si>
  <si>
    <t>President Mozzarella And Emmental Cheese 450g</t>
  </si>
  <si>
    <t>Activia Kefir Drink 280ml</t>
  </si>
  <si>
    <t>Nada Drinking greek Yoghurt Plain Low Fat 330ml</t>
  </si>
  <si>
    <t>Nada greek Yoghurt Plain Low Fat 160g</t>
  </si>
  <si>
    <t>President Turkish Labneh 275g</t>
  </si>
  <si>
    <t>Saudia Long Life Full Fat Milk 125ml &amp;times; 24 Pieces</t>
  </si>
  <si>
    <t>Gran Spicco Parmesan Flav? Italy</t>
  </si>
  <si>
    <t>Puck Labneh Spread 650g</t>
  </si>
  <si>
    <t>Almarai Full Fat Fresh Sour Yoghurt 1kg</t>
  </si>
  <si>
    <t>Al Marai Long Life Milk Full Fat 1L x10 +2 Free</t>
  </si>
  <si>
    <t>Carrefour Compote Apple Pear 100gx4</t>
  </si>
  <si>
    <t>Nadec Fresh Yoghurt Full Cream 170g</t>
  </si>
  <si>
    <t>Lurpak Unsalted Soft Butter 400g</t>
  </si>
  <si>
    <t>Almarai Milk Full Fat Long Life 200ml &amp;times; 18</t>
  </si>
  <si>
    <t>Halloumi Cheese Slices Syria</t>
  </si>
  <si>
    <t>Al Safi Creamy Labneh 700g</t>
  </si>
  <si>
    <t>Almarai Plain Low Fat Yogurt 170g</t>
  </si>
  <si>
    <t>Almarai Cream Cheese 432g &amp;times; 24 Portions</t>
  </si>
  <si>
    <t>Almarai Feta Cheese Full Cream 200g X 2</t>
  </si>
  <si>
    <t>Saudia Long Life Full Fat Milk 200ml &amp;times; 24 Pieces</t>
  </si>
  <si>
    <t>Nadec Analogue Cream Cheese Spread 900g x2</t>
  </si>
  <si>
    <t>Kraft Cream Cheese Spread 870g &amp;times; 2</t>
  </si>
  <si>
    <t>Kiri Cheese, 500g Jar</t>
  </si>
  <si>
    <t>Double Cream Cheese With Black Seed</t>
  </si>
  <si>
    <t>Al Safi  Creamy Labneh 400g</t>
  </si>
  <si>
    <t>Lurpak Butter Unsalted 400g</t>
  </si>
  <si>
    <t>Rahima Fresh Eggs Brown &amp;times; 15 Pieces</t>
  </si>
  <si>
    <t>Victoria Halloumi Cheese  Lf 250g</t>
  </si>
  <si>
    <t>Alpro Original Almond Milk 1L</t>
  </si>
  <si>
    <t>Kiri Cheese, 2x500g Jar</t>
  </si>
  <si>
    <t>Almarai UHT Rich &amp;amp; Creamy Milk Full Fat Milk 1L</t>
  </si>
  <si>
    <t>Almarai Lite Feta Cheese 400g</t>
  </si>
  <si>
    <t>Kraft Cheddar Cheese 100g 6 Pieces</t>
  </si>
  <si>
    <t>Puck Low Fat Cream Cheese Spread 500g &amp;times; 2 Pieces</t>
  </si>
  <si>
    <t>Mozzarella Cheese</t>
  </si>
  <si>
    <t>President Shredded Mozzarella &amp;amp; Kashkaval 400g</t>
  </si>
  <si>
    <t>Carrefour Classic Creamy Brie Cheese 200g</t>
  </si>
  <si>
    <t>Almarai Low Fat Cheese Slices 400g &amp;times; 20 Slices</t>
  </si>
  <si>
    <t>Saha - Eggs x30 Count With Vitamin E</t>
  </si>
  <si>
    <t>Lurpak Soft Butter Unsalted 200g</t>
  </si>
  <si>
    <t>President Triangle Cheese 480g &amp;times; 32 Pieces</t>
  </si>
  <si>
    <t>Frico Edam Cheese</t>
  </si>
  <si>
    <t>Egyptian Areesh Cheese</t>
  </si>
  <si>
    <t>Nadec Cooking Cream 500ml</t>
  </si>
  <si>
    <t>Almarai Long Life Full Fat Milk, Rich And Creamy, 1L x12 Pieces</t>
  </si>
  <si>
    <t>Puck Turkish Recipe Lebneh 400g</t>
  </si>
  <si>
    <t>Nadec Fresh Laban Full Fat 1.75L</t>
  </si>
  <si>
    <t>Kraft Processed Cheddar Cheese 50g</t>
  </si>
  <si>
    <t>Almarai Processed Cream Cheese 500g Pack of 2</t>
  </si>
  <si>
    <t>Almarai Hummus 250g</t>
  </si>
  <si>
    <t>Almarai Premium Labneh Turkish Style 180ml</t>
  </si>
  <si>
    <t>Carrefour Fromage Blanc Vanilla Yogurt 100g x Pack of 8</t>
  </si>
  <si>
    <t>Activia Fresh Yoghurt Low Fat 150g Pack of 6</t>
  </si>
  <si>
    <t>Alsafi Fresh Yoghurt Full Fat 170g &amp;times; 6 Pieces</t>
  </si>
  <si>
    <t>Nada Milk Long Life Chocolate Flavored 115ml x 18 Pieces</t>
  </si>
  <si>
    <t>Egyptian Feta Cheese With Olive (By Kilo)</t>
  </si>
  <si>
    <t>Almarai Protein Milk, Lactose Free, Low Fat, 400ml</t>
  </si>
  <si>
    <t>Carrefour Gorgonzola Slice 150g</t>
  </si>
  <si>
    <t>Lurpak Soft Butter Salted 400g</t>
  </si>
  <si>
    <t>Kraft Cheddar Cheese 50g 7 + 1 Free</t>
  </si>
  <si>
    <t>Puck Cooking Cream 1L</t>
  </si>
  <si>
    <t>Philadelphia Spread Cheese 1.65 Kg</t>
  </si>
  <si>
    <t>Almarai Hummus Lemon Twist 250g</t>
  </si>
  <si>
    <t>Alsafi Fresh Yoghurt Low Fat 170g &amp;times; 6 Pieces</t>
  </si>
  <si>
    <t>Carrefour Gouda Cheese Slices 200g</t>
  </si>
  <si>
    <t>Alpro Professional Coconut Soya Drink 1L</t>
  </si>
  <si>
    <t>Philadelphia Cream Cheese Light 180g</t>
  </si>
  <si>
    <t>Dari Cow Kashkaval Cheese</t>
  </si>
  <si>
    <t>Nada Long Life Full Fat Milk 115 ml Pack of 18</t>
  </si>
  <si>
    <t>Almarai Flavored Laban Strawberry 180ml</t>
  </si>
  <si>
    <t>Philadelphia Cream Cheese Original 280g</t>
  </si>
  <si>
    <t>Almarai Fresh Mango Yoghurt 150g</t>
  </si>
  <si>
    <t>Carrefour AOP Comte Cheese 250g</t>
  </si>
  <si>
    <t>President Shredded Natural 4 Cheese 400g</t>
  </si>
  <si>
    <t>Almarai Cheese Slice Burger 200g &amp;times; 10 Pieces</t>
  </si>
  <si>
    <t>Puck Cooking Cream 200ml</t>
  </si>
  <si>
    <t>Lurpak Unsalted Butter 10g &amp;times; 100</t>
  </si>
  <si>
    <t>Puck Shredded Mozzarella Analogue Cheese 900g</t>
  </si>
  <si>
    <t>Nada greek Yoghurt Plain 360g</t>
  </si>
  <si>
    <t>Almarai Processed Cream Cheese 500g</t>
  </si>
  <si>
    <t>Almarai Shredded Mozzarella Cheese 180g</t>
  </si>
  <si>
    <t>Orange Cheddar Cheese Uk</t>
  </si>
  <si>
    <t>President Shredded Mozzarella And Cheddar Cheese 450g</t>
  </si>
  <si>
    <t>Danette Vanilla Pudding 75g &amp;times; 7 + 1 Free</t>
  </si>
  <si>
    <t>Carrefour Apple Mango Passion 100g &amp;times; 4</t>
  </si>
  <si>
    <t>President Light Labneh 275g</t>
  </si>
  <si>
    <t>Saha Super Eggs 6 Pieces</t>
  </si>
  <si>
    <t>La Vache Qui Rit Original Spreadable Cheese Triangles, 8 portions x4 packs, 32 Portions, 480g</t>
  </si>
  <si>
    <t>Almarai Vetal Layered Fruit Yoghurt Strawberry 140g &amp;times; 5 + 1 Free</t>
  </si>
  <si>
    <t>Almarai Long Life Full Fat Nijoom Plain Milk 150ml &amp;times; 18 Pieces</t>
  </si>
  <si>
    <t>Saha Organic Selenium Eggs 15 Pieces</t>
  </si>
  <si>
    <t>Carrefour French Emmental Cheese Slices 200g</t>
  </si>
  <si>
    <t>White Cheddar Cheese Uk</t>
  </si>
  <si>
    <t>Puck Labneh Spread 180g</t>
  </si>
  <si>
    <t>Al Safi Full Fat Laban 2L</t>
  </si>
  <si>
    <t>Nadec Cheese Sliced 400g</t>
  </si>
  <si>
    <t>Carrefour Apple Compotes 100g x Pack of 8</t>
  </si>
  <si>
    <t>Saudia Long Life Full Fat Milk 2l</t>
  </si>
  <si>
    <t>Carrefour Strawberry &amp;amp; Apple Compote 100gx4</t>
  </si>
  <si>
    <t>Forsana Shredded Analogue Chees  Mozarella 200g2Pieces</t>
  </si>
  <si>
    <t>Unsalted Butter Blend</t>
  </si>
  <si>
    <t>Nada Fresh Milk 3L</t>
  </si>
  <si>
    <t>Carrefour Peach &amp;amp; Passion Greek Fruit Yoghurt 150g x Pack of 4</t>
  </si>
  <si>
    <t>Saha - Vitamin D Egg 30&amp;#39;s</t>
  </si>
  <si>
    <t>Kraft Block Cheddar Cheese 500g</t>
  </si>
  <si>
    <t>Almarai Low Fat Cheese Slices 200g</t>
  </si>
  <si>
    <t>Nadec Chocolate Milk Long Life 125ml &amp;times; 18</t>
  </si>
  <si>
    <t>Carrefour Sliced Raclette Cheese 400g</t>
  </si>
  <si>
    <t>Carrefour Mix 3 Grated Cheeses 200g</t>
  </si>
  <si>
    <t>Activia Double Zero Greek Yogurt 150g (0% Fat, 0% Added Sugar)</t>
  </si>
  <si>
    <t>Christis Halloumi Cheese 225g</t>
  </si>
  <si>
    <t>President Lite Shredded Mozzarella 400g</t>
  </si>
  <si>
    <t>The Three Cows White Cheese Full Cream Low Salt 500g</t>
  </si>
  <si>
    <t>Puck Processed White Cream Analogue Cheese Spread 500g</t>
  </si>
  <si>
    <t>Badr Cheese Low Fat With Black Seeds (Per Kg)</t>
  </si>
  <si>
    <t>Almarai Greek Style Plain Yoghurt 150g</t>
  </si>
  <si>
    <t>Carrefour Natural Yogurt 125g x4 Pieces</t>
  </si>
  <si>
    <t>Carrefour Apple And Apricot Compote 100gx4</t>
  </si>
  <si>
    <t>Puck Low Fat Light Cooking Cream 500ml</t>
  </si>
  <si>
    <t>Dari - Analogue Mozzarella 900g</t>
  </si>
  <si>
    <t>Carrefour Grana Padano Grated Cheese 200g</t>
  </si>
  <si>
    <t>Balade Turkish Labneh, 400g, Pack of 2</t>
  </si>
  <si>
    <t>Carrefour Goat Cheese Slices 200g</t>
  </si>
  <si>
    <t>Carrefour Maasdam Cheese Slices 200g</t>
  </si>
  <si>
    <t>Almarai Classic Hummus 250g x2</t>
  </si>
  <si>
    <t>Nadec Cheese Burger 10 Slices 200g</t>
  </si>
  <si>
    <t>Lurpak Unsalted Butter Mini Blocks 50g x6</t>
  </si>
  <si>
    <t>Almarai Long Life Nijoom Strawberry Flavored Milk 150ml times 18 Pieces</t>
  </si>
  <si>
    <t>Almarai Low Fat Fresh Milk 1L</t>
  </si>
  <si>
    <t>Carrefour Fresh Tagliatelles 350g</t>
  </si>
  <si>
    <t>Carrefour Creamy Blue Cheese 125g</t>
  </si>
  <si>
    <t>Saudia Chocolate Milk 125Ml &amp;times; 24 Pieces</t>
  </si>
  <si>
    <t>Al Marai Whipping Cream 500ml</t>
  </si>
  <si>
    <t>Kraft Spreadable Cheddar Cheese Original 480g</t>
  </si>
  <si>
    <t>Carrefour Bleu De Bresse 250g</t>
  </si>
  <si>
    <t>Nada Chocolate Protein Milk 320ml</t>
  </si>
  <si>
    <t>Actimel Mixed Berries Drinkable Yoghurt 93ml Pack of 4</t>
  </si>
  <si>
    <t>Carrefour Red Cheddar Cheese For Hamburger 200g</t>
  </si>
  <si>
    <t>Carrefour Roquefort 150g</t>
  </si>
  <si>
    <t>Alsafi Full Fat Yoghurt 1kg</t>
  </si>
  <si>
    <t>Carrefour Caramel Custard 100g &amp;times; 4</t>
  </si>
  <si>
    <t>Al Safi Fresh Cream 100g &amp;times; 2</t>
  </si>
  <si>
    <t>Nadec Fresh Yoghurt Full Cream 1kg</t>
  </si>
  <si>
    <t>Danette Cream Caramel 80g &amp;times; 7 + 1 Free</t>
  </si>
  <si>
    <t>Kraft Processed Cheddar Cheese 250g</t>
  </si>
  <si>
    <t>Balade Protein Kefir Yogurt, 180g</t>
  </si>
  <si>
    <t>Anchor Unsalted Butter 100g</t>
  </si>
  <si>
    <t>Danette Cookie Pudding 75g &amp;times; 7 + 1 Free</t>
  </si>
  <si>
    <t>Nada greek yoghurt plain zero fat 360 g</t>
  </si>
  <si>
    <t>Telal Ghawar motabbak leaves 1kg</t>
  </si>
  <si>
    <t>Balade Farms - Kefir Milk 1L</t>
  </si>
  <si>
    <t>Carrefour Goat Cheese Brebis 200g</t>
  </si>
  <si>
    <t>President Turkish labaneh 700 g</t>
  </si>
  <si>
    <t>Carrefour Soja Vanilla 100g &amp;times; 4</t>
  </si>
  <si>
    <t>Almarai UHT Long Life Low Fat Milk 1L</t>
  </si>
  <si>
    <t>Kiri Spreadable Cream Cheese Squares 12 portions 200g</t>
  </si>
  <si>
    <t>Activia Light Laban 180ml</t>
  </si>
  <si>
    <t>Nadec Low Fat Milk 1.75L</t>
  </si>
  <si>
    <t>Activia Yoghurt Peach &amp;amp; Apricot 120g</t>
  </si>
  <si>
    <t>Carrefour Spread Plain Cheese 150g</t>
  </si>
  <si>
    <t>Safio Plain Milk 185ml X18</t>
  </si>
  <si>
    <t>Puck Cheese Triangle Value Pack 120g &amp;times; 5</t>
  </si>
  <si>
    <t>Activia Mix  Berry Yoghurt 120g</t>
  </si>
  <si>
    <t>Cheese Orange Cheddar</t>
  </si>
  <si>
    <t>Nada Fresh Plain Protein Milk 320ml</t>
  </si>
  <si>
    <t>Almarai Cheese Slices Burger 400g &amp;times; 20 Slices</t>
  </si>
  <si>
    <t>Kiri Spreadable Cream Cheese Squares, 6 portions x 5 packs, 35 portions, 500g</t>
  </si>
  <si>
    <t>Nada Turkish Labneh 410g</t>
  </si>
  <si>
    <t>Almarai Natural Butter Unsalted 1kg</t>
  </si>
  <si>
    <t>Nadec Low Fat Laban 1.75L</t>
  </si>
  <si>
    <t>Cow Pure Butter</t>
  </si>
  <si>
    <t>Almarai Creme Caramel Dessert 100g Pack of 6</t>
  </si>
  <si>
    <t>Forsana Low Fat Analogue Chees Slice 170g X 3</t>
  </si>
  <si>
    <t>Activia Yogurt Strawberry 120g</t>
  </si>
  <si>
    <t>Kiri Spreadable Cream Cheese Squares 18 portions 324g</t>
  </si>
  <si>
    <t>Alsafi Full Fat Fresh Milk 2.9L</t>
  </si>
  <si>
    <t>Alpro Barista Almond Milk 1L</t>
  </si>
  <si>
    <t>Al Safi  Halloumi Cheese  225g</t>
  </si>
  <si>
    <t>Kraft Original Squeeze Cream Cheese Spread 440g</t>
  </si>
  <si>
    <t>Puck Cream Cheese Squares  24  portions</t>
  </si>
  <si>
    <t>President Sandwich with Cheddar Slice Cheese 200g</t>
  </si>
  <si>
    <t>Almarai Fat Free Cheese Slices 200g</t>
  </si>
  <si>
    <t>Cheddar Yellow Irish</t>
  </si>
  <si>
    <t xml:space="preserve">Saha Super Ten Fresh Chicken Eggs - Grade A, 100% Pure Vegetarian-Fed Chickens, Pack of 10, Saudi Made
</t>
  </si>
  <si>
    <t>Almarai Cheese Slices Burger 200g &amp;times; 3 + 1 Free</t>
  </si>
  <si>
    <t>Activia Low Fat Laban 1.75L</t>
  </si>
  <si>
    <t>Nada Vanilla Protein Milk 320ml</t>
  </si>
  <si>
    <t>Nadec Laban Full Fat 180ml</t>
  </si>
  <si>
    <t>Nadec Grk Yog Plain Lf 2+1 480g</t>
  </si>
  <si>
    <t>Almarai Nijoom Milk Vanilla Flavored Long Life 150ml &amp;times; 18 Pieces</t>
  </si>
  <si>
    <t>Feta Saudi Cheese (Per Kg)</t>
  </si>
  <si>
    <t>Puck White Cream Cheese 1.1kg</t>
  </si>
  <si>
    <t>Puck Natural Emmental Cheese Slices 150g</t>
  </si>
  <si>
    <t>Regal Picon Triangle Cheese 120g &amp;times; 8 Pieces &amp;times; 4 Pack</t>
  </si>
  <si>
    <t>Nadec greek Yoghurt Plain 160g</t>
  </si>
  <si>
    <t>Anchor Unsalted Butter 180g</t>
  </si>
  <si>
    <t>Cheddar Cheese Egypt</t>
  </si>
  <si>
    <t>Kiri Cheese 6 Portions 120g</t>
  </si>
  <si>
    <t>Lurpak Salted Soft Butter 200g</t>
  </si>
  <si>
    <t>Nada Fresh Laban Full Fat 3L</t>
  </si>
  <si>
    <t>Almarai Unsalted Natural Butter 10g Pack of 100</t>
  </si>
  <si>
    <t>Valbreso French Feta Cheese</t>
  </si>
  <si>
    <t>Puck Whipping Cream 1L</t>
  </si>
  <si>
    <t>Alpro Vanilla Flavour Soya Milk 1L Organic</t>
  </si>
  <si>
    <t>Puck Cream Analogue Cheese Spread 230g</t>
  </si>
  <si>
    <t>Dari Mozzarella Cheese</t>
  </si>
  <si>
    <t>Frico Edam Mild Cheese</t>
  </si>
  <si>
    <t>Almarai Ayran Laban 2L</t>
  </si>
  <si>
    <t>Puck Soft Cream Cheese 200g</t>
  </si>
  <si>
    <t>Nadec Ayran Laban 1.75L</t>
  </si>
  <si>
    <t>Hadju Orginal Kashkaval Cheese</t>
  </si>
  <si>
    <t>Kraft Cream Cheese Cheddar 230g</t>
  </si>
  <si>
    <t>Almarai Long Life Low Fat Milk  1L times 12 Pieces</t>
  </si>
  <si>
    <t>Puck Soft Cream Cheese Garlic  Herb Spread 200g</t>
  </si>
  <si>
    <t>Almarai Fat Free Milk 1L</t>
  </si>
  <si>
    <t>Balade Lebanese Original Labneh 450g</t>
  </si>
  <si>
    <t>Nadec Plaingreek Yoghurt 160g &amp;times; 2 + 1</t>
  </si>
  <si>
    <t>Safio UHT Chocolate Milk 185mlx18</t>
  </si>
  <si>
    <t>Almarai Cheddar Processed Cheese 454g</t>
  </si>
  <si>
    <t>Alsafi Fresh Yoghurt Full Fat 170g</t>
  </si>
  <si>
    <t>Analogue Istamboly Cheese</t>
  </si>
  <si>
    <t>Egyptian Fresh Cream</t>
  </si>
  <si>
    <t>Almarai Cheese Slice Sandwich 200g &amp;times; 10 Pieces</t>
  </si>
  <si>
    <t>Puck Cheddar Cheese Slice 150g</t>
  </si>
  <si>
    <t>Almarai Cheddar Cheese 56g &amp;times; 5 + 1 Free</t>
  </si>
  <si>
    <t>Activia Full Fat Stirred Plain Yogurt 125g</t>
  </si>
  <si>
    <t>Almarai Cream Cheese 6 Portions 108g &amp;times; 2 + 1 Free</t>
  </si>
  <si>
    <t>Almarai Low Fat Fresh Laban With Added Vitamins 180ml</t>
  </si>
  <si>
    <t>Valbreso Feta Block Sliced 200g</t>
  </si>
  <si>
    <t>President Shredded Cheddar Cheese 450g</t>
  </si>
  <si>
    <t>Almarai Custard Chocolate Dessert 85g X5 +1 Free</t>
  </si>
  <si>
    <t>Almarai Unsalted Natural Butter 200g</t>
  </si>
  <si>
    <t>Al Marai - Marvello Herb Cream Cheese 200g</t>
  </si>
  <si>
    <t>Al Safi UHT Full Fat Milk 1l</t>
  </si>
  <si>
    <t>Forsana Sliced Analogue Chees 170g X 3</t>
  </si>
  <si>
    <t>Forsana   Labneh 1kg</t>
  </si>
  <si>
    <t>Frico Rich Edam Cheese Slices 300g</t>
  </si>
  <si>
    <t>Almarai Milk Low Fat Long Life 200ml &amp;times; 18 Pieces</t>
  </si>
  <si>
    <t>Alsafi Fresh Yogurt Full Fat 2kg</t>
  </si>
  <si>
    <t>Marai Cooking Cream 1L x2</t>
  </si>
  <si>
    <t>Almarai Lite Shredded Mozzarella Cheese 180g</t>
  </si>
  <si>
    <t>Lurpak Butter Salted 200g</t>
  </si>
  <si>
    <t>Saudia Long Life Low Fat Milk 200ml &amp;times; 24 Pieces</t>
  </si>
  <si>
    <t>Activia Full Fat Fresh Laban 180ml</t>
  </si>
  <si>
    <t>Activia Yoghurt Mango 120g</t>
  </si>
  <si>
    <t>Victoria Garden Halloumi Cheese Burger 250g</t>
  </si>
  <si>
    <t>Kashkaval Full Fat</t>
  </si>
  <si>
    <t>Smoked Cheese With Herbs</t>
  </si>
  <si>
    <t>Almarai Custard Vanilla 85g X5 +1 Free</t>
  </si>
  <si>
    <t>Al Safi Plain Greek Yogurt 150g x Pack of 3</t>
  </si>
  <si>
    <t>Saha Omega 3 Eggs Medium Feed On Fla&amp;times;seeds 15 Eggs</t>
  </si>
  <si>
    <t>Nadec Analogue Butter, Plastic Can 500g</t>
  </si>
  <si>
    <t>Nada Milk Long Life Strawberry Flavored 125ml x 18Pieces</t>
  </si>
  <si>
    <t>Dari Halloumi Cheese Slices 200g</t>
  </si>
  <si>
    <t>Saudia Vanilla Milk 125ml x24</t>
  </si>
  <si>
    <t>President Feta Cheese Full Fat 500g</t>
  </si>
  <si>
    <t>Pride Burger Melts Cheese Slices 200g</t>
  </si>
  <si>
    <t>Al Safi - Full Fat Milk 2L</t>
  </si>
  <si>
    <t>Frico Gouda Holland Mild</t>
  </si>
  <si>
    <t>Puck Whipped Cream Spray 250g</t>
  </si>
  <si>
    <t>Balade Lebanese Low Fat Labneh 450g</t>
  </si>
  <si>
    <t>Nada Turkish Labneh 2kg</t>
  </si>
  <si>
    <t>Saudia Long Life Strawberry Milk 125ml &amp;times; 24</t>
  </si>
  <si>
    <t>Entremont - French Emmental Cheese</t>
  </si>
  <si>
    <t>Almarai Cheddar Cheese Spread 500g Pack of 2</t>
  </si>
  <si>
    <t>Almarai Full Fat Premium Labneh 400g</t>
  </si>
  <si>
    <t>Elle &amp;amp; Vire Excellence Cooking Cream 1l</t>
  </si>
  <si>
    <t>Danish Blue Cheese</t>
  </si>
  <si>
    <t>Babybel Original Cheese Block, 200g</t>
  </si>
  <si>
    <t>Sabahoo Double Choco Muffin 60g</t>
  </si>
  <si>
    <t>Frico Grab And Go Gouda Cheese Snack 20g Pack of 5</t>
  </si>
  <si>
    <t>White Cheddar Cheese</t>
  </si>
  <si>
    <t>Puck Gouda Cheese Slices 150g</t>
  </si>
  <si>
    <t>Puck Cream Cheese Low Fat Spread Jar 500g</t>
  </si>
  <si>
    <t>Nadec Long Life Skimmed Milk 1L &amp;times; 12 Pieces</t>
  </si>
  <si>
    <t>Al Rabie Zain Chocolate Milk 125ml x Pack of 18</t>
  </si>
  <si>
    <t>Al Marai - Marvello Cream Cheese 200g</t>
  </si>
  <si>
    <t>Nadec Cheese Sliced Cheddadfdr 200g</t>
  </si>
  <si>
    <t>Al Safi  Kashkaval Cheese  350g</t>
  </si>
  <si>
    <t>Puck Premium Cubed Feta Cheese 200 g</t>
  </si>
  <si>
    <t>Pride Unsalted Butter 100g</t>
  </si>
  <si>
    <t>Dari Halloumi Cheese 225g</t>
  </si>
  <si>
    <t>Saudia Long Life Full Fat Milk 125ml &amp;times;8</t>
  </si>
  <si>
    <t>Almarai Vetal Layered Fruit Yoghurt Strawberry 140g</t>
  </si>
  <si>
    <t>Nadec Full Fat Laban 800ml</t>
  </si>
  <si>
    <t>Alsafi Full Fat Fresh Laban 2.9L</t>
  </si>
  <si>
    <t>Kraft Original Squeeze Cream Cheese Spread 790g</t>
  </si>
  <si>
    <t>Almarai Full Fat Fresh Laban With Added Vitamins 360ml</t>
  </si>
  <si>
    <t>Nadec Analogue Cheddar Cheese Spread 500g x2</t>
  </si>
  <si>
    <t>Nadec Fresh Yoghurt Low Fat 170g</t>
  </si>
  <si>
    <t>Almarai Cheddar Cheese Slices 200g Pack of 4</t>
  </si>
  <si>
    <t>Nadec Feta White Cheese 450g+ 200g</t>
  </si>
  <si>
    <t>Almarai Full Cream Fresh Yogurt 170g</t>
  </si>
  <si>
    <t>Dari - Shredded Mozzarella Cheese Analogue 450g</t>
  </si>
  <si>
    <t>Activia Stirred Yoghurt Low Fat Mixed Berries 120g</t>
  </si>
  <si>
    <t>Ledana Unsalted Butter Saudi (Per KG)</t>
  </si>
  <si>
    <t>Al Joud Labneh Turkey</t>
  </si>
  <si>
    <t>Safio Immunity Booster Strawberry Flavoured Yoghurt 110g Pack of 4</t>
  </si>
  <si>
    <t>Nada Turkish Labneh 200g</t>
  </si>
  <si>
    <t>Al Marai Protein Milk (34g) Coffee Flavor 400ml</t>
  </si>
  <si>
    <t>Cheese Rommy With  Cumin</t>
  </si>
  <si>
    <t>Puck Cream Cheese Squares - 12 portions</t>
  </si>
  <si>
    <t>Balade Farms - Kefir Milk 225ml</t>
  </si>
  <si>
    <t>Almarai Flavored Laban Strawberry 340ml</t>
  </si>
  <si>
    <t>Nadec Feta Cheese White Low Fat 450g</t>
  </si>
  <si>
    <t>Kiri Al Jarra Fresh Cream Cheese 600 g</t>
  </si>
  <si>
    <t>Analogue Feta Cheese Egypt</t>
  </si>
  <si>
    <t>Luna White Cream Cheese 500g &amp;times;2</t>
  </si>
  <si>
    <t>Alfailaq Eggs 15 Pieces</t>
  </si>
  <si>
    <t>Activia - Kefir Drink 850ml</t>
  </si>
  <si>
    <t>Nada Greek Labneh &amp;ndash; Rich in Protein, Smooth &amp;amp; Creamy &amp;ndash; 410g</t>
  </si>
  <si>
    <t>Nada Strawberry Protein Milk 320ml</t>
  </si>
  <si>
    <t>Old Scandrani Egypt Cheese</t>
  </si>
  <si>
    <t>Almarai Full Fat Fresh Milk With Added Vitamins 180ml</t>
  </si>
  <si>
    <t>Activia Fat Free Fresh Laban 1.75L</t>
  </si>
  <si>
    <t>Almarai Skimmed Fresh Yoghurt 170g</t>
  </si>
  <si>
    <t>Kraft Light Cheese Slices 400g</t>
  </si>
  <si>
    <t>Danette Cotton Candy Pudding 75g X 7 1 Free</t>
  </si>
  <si>
    <t>Puck Natural Mozzarella Cheese Slices 150g</t>
  </si>
  <si>
    <t>Saha Lutein Eggs &amp;times;30</t>
  </si>
  <si>
    <t>Puck Cream Cheese Squeeze Spread 400g</t>
  </si>
  <si>
    <t>Almarai Low Fat Processed Cheddar Cheese 454g</t>
  </si>
  <si>
    <t>Saudiagolden Taste Long Life Full Fat Milk 1L</t>
  </si>
  <si>
    <t>Almarai Full Fat Fresh Milk 500ml</t>
  </si>
  <si>
    <t>Astra Akawi Cheese</t>
  </si>
  <si>
    <t>Puck Cream Cheese Olives 200g</t>
  </si>
  <si>
    <t>Alpro Unsweetened Soya Milk 1L</t>
  </si>
  <si>
    <t>Almarai Cheddar Cheese Slices 200g</t>
  </si>
  <si>
    <t>Saudia Cotton Candy Flavored Milk &amp;ndash; 200ml &amp;times; (15 + 3 Free)</t>
  </si>
  <si>
    <t>Food Choice halloumi cheese 250g</t>
  </si>
  <si>
    <t>Saudia Long Life Skimmed Milk 1L</t>
  </si>
  <si>
    <t>Almarai Flavored Laban Mango 180ml</t>
  </si>
  <si>
    <t>Kraft Processed Cheddar Cheese 100g</t>
  </si>
  <si>
    <t>Nadec Analogue Feta Cheese 250g</t>
  </si>
  <si>
    <t>Activia Stirred Yoghurt Plain Light 125g</t>
  </si>
  <si>
    <t>Almarai Fresh Laban Full Fat 1.4L</t>
  </si>
  <si>
    <t>Italian Grana Padano Cheese</t>
  </si>
  <si>
    <t>Almarai Cheese Slices Cheddar 400g &amp;times; 20 Slices</t>
  </si>
  <si>
    <t>Almarai Sour Cream 200g</t>
  </si>
  <si>
    <t>Nadec Sliced Cheddar Cheese 400g</t>
  </si>
  <si>
    <t>Alsafi Full Fat Fresh Milk 1.5L</t>
  </si>
  <si>
    <t>Forsana Shredded Analogue Chees  Mozarella 200g X 3</t>
  </si>
  <si>
    <t>President Turkish Labneh 180g</t>
  </si>
  <si>
    <t>Puck TexMex Mozzarella And Cheddar Shredded Cheese Mix 180g</t>
  </si>
  <si>
    <t>Almarai Double Chocolate Milk  200ml &amp;times; 18</t>
  </si>
  <si>
    <t>Astra Mozzarella</t>
  </si>
  <si>
    <t>Valbreso Feta Light 200g</t>
  </si>
  <si>
    <t>Activia Low Fat Laban 850ml</t>
  </si>
  <si>
    <t>Puck Cream Cheese Natural Spread 300g</t>
  </si>
  <si>
    <t>Pride Analogue Cheddar Cheese Block 1 Kg</t>
  </si>
  <si>
    <t>Al Marai UHT Full Fat Barista Milk 1L</t>
  </si>
  <si>
    <t>Yopro Protein Vanilla Milk 300ml</t>
  </si>
  <si>
    <t>The Three Cows White Cheese Low Fat 500g</t>
  </si>
  <si>
    <t>KDD Butter 100g</t>
  </si>
  <si>
    <t>Almarai Natural Butter Salted 200g</t>
  </si>
  <si>
    <t>Alsafi Full Fat Fresh Laban 1.5L</t>
  </si>
  <si>
    <t>Almarai Processed Cheddar Cheese 900g Pack of 2</t>
  </si>
  <si>
    <t>Pride Shredded Mozzarella 500g</t>
  </si>
  <si>
    <t>Nadec Fresh Milk Full Fat 800ml</t>
  </si>
  <si>
    <t>Almarai Low Fat Fresh Laban 1L</t>
  </si>
  <si>
    <t>Nada Full Fat Yogurt 170g &amp;times; 5 Pieces + 1 Free</t>
  </si>
  <si>
    <t>Hungarian Feta Cheese</t>
  </si>
  <si>
    <t>Almarai - Mozarela Shreded Chese 900g</t>
  </si>
  <si>
    <t>Nadec Long Life Milk From 100% Fresh Cow&amp;#39;s Milk, Skimmed 1L</t>
  </si>
  <si>
    <t>Zanetti Pecorino Romano Cheese 160g</t>
  </si>
  <si>
    <t>Puck Mozzarella Kashkaval 400g</t>
  </si>
  <si>
    <t>Saudia Long Life Low Fat Milk 1L</t>
  </si>
  <si>
    <t>Mazola Margarine 500g</t>
  </si>
  <si>
    <t>Valbreso French Feta  Cheese 600g</t>
  </si>
  <si>
    <t>PRESIDENT Squares Cheese, Pack of 24, 336g</t>
  </si>
  <si>
    <t>The Three Cows Shredded Mozzarella Cheese (Analogue)180g</t>
  </si>
  <si>
    <t>Almarai Premium Labneh Full Fat 2.75kg</t>
  </si>
  <si>
    <t>La vache qui rit Original Spreadable Cheese Triangles,pack of 32 Portions x 2, 64 portions (Analogue), 960g</t>
  </si>
  <si>
    <t>Almarai Full Fat Cheddar Cheese 113g &amp;times; 5 + 1 Free</t>
  </si>
  <si>
    <t>Kdd Choco Flavoured Milk 125ml &amp;times;18</t>
  </si>
  <si>
    <t>Nada Yogurt Full Fat 380g</t>
  </si>
  <si>
    <t>Alsafi Greek Yogurt Plain 150g</t>
  </si>
  <si>
    <t>Almarai Nijoom Milk Banana Flavored  Long Life 150ml &amp;times; 18 Pieces</t>
  </si>
  <si>
    <t>Actimel Dairy Drink, Royal Jelly &amp;amp; Peach 93ml x4</t>
  </si>
  <si>
    <t>Almarai Cream Cheese 108g &amp;times; 6 Pieces</t>
  </si>
  <si>
    <t>Pride Burger Slice Cheese 20 Slices (400g)</t>
  </si>
  <si>
    <t>Alpro Chocolate Flavour Soya Milk 1L (Organic)</t>
  </si>
  <si>
    <t>Egyptian Feta Cheese With Pepper (By Kilo)</t>
  </si>
  <si>
    <t>Nadec Flavoured Milk Chocolate 185 ml 18</t>
  </si>
  <si>
    <t>Balade Lactofree Labneh 450g</t>
  </si>
  <si>
    <t>Dari Turkish Labneh 180g</t>
  </si>
  <si>
    <t>Nadec Kashkaval Cheese 350g</t>
  </si>
  <si>
    <t>Frico Original Maasdam Cheese Slices 150g</t>
  </si>
  <si>
    <t>Labneh Jarashea (Per Kg)</t>
  </si>
  <si>
    <t>Nadec Sandwich Slice Cheese 400g</t>
  </si>
  <si>
    <t>Puck Cream Cheese Low Fat Spread Jar 240g</t>
  </si>
  <si>
    <t>Forsana Unsalted Butter 1kg</t>
  </si>
  <si>
    <t>Nada Sour Cream 200g</t>
  </si>
  <si>
    <t>Puck Shredded Cheddar &amp;amp; Mozzarella 180g</t>
  </si>
  <si>
    <t>Ghaneya Akawi Cheese Low Salt (Per Kg)</t>
  </si>
  <si>
    <t>Parmigiano Parmesanitaly</t>
  </si>
  <si>
    <t>Yopro Protein Chocolate Milk 300ml</t>
  </si>
  <si>
    <t>Arla Organic Immune Lf Milk 1L</t>
  </si>
  <si>
    <t>Almarai Protein Milk Vanilla 400ml &amp;ndash; 34g Protein &amp;ndash; Fat Free &amp;ndash; No Added Sugar</t>
  </si>
  <si>
    <t>President Slices Light &amp;amp; Tasty Cheese 400g20 Slices</t>
  </si>
  <si>
    <t>Prestige Camembert Cheese 125g</t>
  </si>
  <si>
    <t>Puck Analogue Cheese Cream Spread 900g</t>
  </si>
  <si>
    <t>Forsana Analogue Chees Mozzarella Block 200g 3</t>
  </si>
  <si>
    <t>Almarai Vetal Layered Fruit Yoghurt Black Cherry 140g</t>
  </si>
  <si>
    <t>Almarai Long Life Fat Free Milk 1L &amp;times; 12 Pieces</t>
  </si>
  <si>
    <t>Alsafi Long Life Full Fat Milk 1L &amp;times; 12 Pieces</t>
  </si>
  <si>
    <t>Pride Sandwich Sensation Cheese Slices 200g</t>
  </si>
  <si>
    <t>Dana Blue Cheese 100g</t>
  </si>
  <si>
    <t>Kdd Long Life Full Fat Milk 1L &amp;times; 12</t>
  </si>
  <si>
    <t>Almarai Ayran Laban 180ml</t>
  </si>
  <si>
    <t>Pride Light And Tasty Cheese Slices 200g</t>
  </si>
  <si>
    <t>Zad Madinah Organic Fresh Goat Cheese 100g</t>
  </si>
  <si>
    <t>Almarai Caramel Cream 100g</t>
  </si>
  <si>
    <t>La Vache qui rit Original Spreadable Cheese Triangles 360g</t>
  </si>
  <si>
    <t>Nadec Fresh Cream 100g</t>
  </si>
  <si>
    <t>Danette Chocolate Pudding Dessert 75g</t>
  </si>
  <si>
    <t>President Triangle Cheese 120g</t>
  </si>
  <si>
    <t>Al Rabie Zain Strawberry Milk 125ml x Pack of 18</t>
  </si>
  <si>
    <t>Almarai Cream Cheese 432g &amp;times; 24 Pieces</t>
  </si>
  <si>
    <t>Saudia Long Life Low Fat Milk 2l</t>
  </si>
  <si>
    <t>English Cheddar Orange Cheese</t>
  </si>
  <si>
    <t>Nadec Analogue Shredded Mozzarella Cheese 500g</t>
  </si>
  <si>
    <t>Balade Farms - Lactos Free Halloumi Cheese 250g</t>
  </si>
  <si>
    <t>Puck Texmex Shredded Mozzarella Cheese 400g</t>
  </si>
  <si>
    <t>Nadec Uht Banana Milk 125ml &amp;times;18</t>
  </si>
  <si>
    <t>Almarai Processed Cream Cheese 200g</t>
  </si>
  <si>
    <t>Alrabie Long Life Full Fat Milk 1L &amp;times; 8</t>
  </si>
  <si>
    <t>Almarai Vanilla Custard 85g</t>
  </si>
  <si>
    <t>Labneh Sheep Astra Local</t>
  </si>
  <si>
    <t>Forsana Analogue Chees Cheddar Shredded 200g</t>
  </si>
  <si>
    <t>Nadec Fresh Laban Low-Fat 180ml</t>
  </si>
  <si>
    <t>Puck  Cubed White Cheese, With Garlic  Parsley, Greek Style, With Drainer, 200g</t>
  </si>
  <si>
    <t>Almarai Spreadable Cheddar Cheese 500g</t>
  </si>
  <si>
    <t>President Feta Cheese Full Fat 250g</t>
  </si>
  <si>
    <t>Activia Low Fat Strawberry Stirred Yoghurt 120g</t>
  </si>
  <si>
    <t>Puck Four Cheese Sauce 500ml</t>
  </si>
  <si>
    <t>Puck Shredded Analogue Mozzarella Cheese 180g</t>
  </si>
  <si>
    <t>Pride, Light Cheddar Cheese Block, Low Fat 500g</t>
  </si>
  <si>
    <t>Nadec Labneh Full Fat 200g &amp;times;2</t>
  </si>
  <si>
    <t>Alpro Soya Drink Original 1l</t>
  </si>
  <si>
    <t>Luna Analogue Cheddar Cheese Block 500g</t>
  </si>
  <si>
    <t>Nada Greek Yoghurt Extra Creamy 160g</t>
  </si>
  <si>
    <t>Bramili Natural Cheese With Pepper</t>
  </si>
  <si>
    <t>President Salted Butter 100g</t>
  </si>
  <si>
    <t>Nada - Plain Greek Yogurt 0% Fat, 330ml</t>
  </si>
  <si>
    <t>Nada Fresh Yoghurt Full Cream 2kg</t>
  </si>
  <si>
    <t>Puck Cheddar Cheese Slices 400g</t>
  </si>
  <si>
    <t>Nada Mango Drinking Greek Yoghurt 330ml</t>
  </si>
  <si>
    <t>Dari - Pasteurized Analogue Shredded Mozzarella 180g</t>
  </si>
  <si>
    <t>President Slice Cheese Toast with Emmental 200g</t>
  </si>
  <si>
    <t>Jadal Cheese Syria</t>
  </si>
  <si>
    <t>Nadec Long Life Plain Milk 125ml</t>
  </si>
  <si>
    <t>Elle &amp;amp; Vire Excellence Whipping Cream 1l</t>
  </si>
  <si>
    <t>Alsafi Fresh Yoghurt Low Fat 170g</t>
  </si>
  <si>
    <t>Puck Mushroom Sauce With Pepper 500ml</t>
  </si>
  <si>
    <t>Kraft Original Cheese Slices 400g</t>
  </si>
  <si>
    <t>Sunbulah Kashkaval Cheese Hungary</t>
  </si>
  <si>
    <t>Nadec Fresh Full Fat Labneh 200g</t>
  </si>
  <si>
    <t>Regal Picon Triangle Cheese 32 Portions 480g</t>
  </si>
  <si>
    <t>Luna Long Life Full Fat Milk 200ml &amp;times; 18</t>
  </si>
  <si>
    <t>Cheesaland Baramili With Pepper</t>
  </si>
  <si>
    <t>Almarai Hummus Lemon Twist 250g X2</t>
  </si>
  <si>
    <t>Puck Shredded Analogue Mozzarella 400g</t>
  </si>
  <si>
    <t>Saudia Long Life Banana Milk 125ml &amp;times; 24</t>
  </si>
  <si>
    <t>The Three Cows White Cheese 200g</t>
  </si>
  <si>
    <t>President Special Pizza Mozzarella Slice Cheese 200g</t>
  </si>
  <si>
    <t>Cow Kashkaval Cheese Per Kg</t>
  </si>
  <si>
    <t>Irish White Cheddar</t>
  </si>
  <si>
    <t>Kdd Long Life Vanilla Flavored Milk 180ml &amp;times; 18</t>
  </si>
  <si>
    <t>Forsana Unsalted Butter (Mini Packs) 10g x96</t>
  </si>
  <si>
    <t>Kraft Original Cheese Slices 200g</t>
  </si>
  <si>
    <t>Forsana Slice Analogue Chees 170g</t>
  </si>
  <si>
    <t>Akawi Cheese</t>
  </si>
  <si>
    <t>Saha Jumbo Eggs 6&amp;#39;s</t>
  </si>
  <si>
    <t>Almarai UHT Milk Double Chocolate 200ml</t>
  </si>
  <si>
    <t>Kiri Al Jarra Cream Cheese 440g</t>
  </si>
  <si>
    <t>President Butter Unsalted 400g</t>
  </si>
  <si>
    <t>Nadec - Sandwich Slice Cheese X10</t>
  </si>
  <si>
    <t>Puck - Cubed White Cheese, With Paprika &amp;amp; Chili, Greek Style, With Drainer, 200g</t>
  </si>
  <si>
    <t>Nadec Cheese Sliced Low Fat 200g</t>
  </si>
  <si>
    <t>Al Safi Fresh Full Fat Laban 180ml</t>
  </si>
  <si>
    <t>Nadec Low Fat Laban 800ml</t>
  </si>
  <si>
    <t>Balade Turkish Labneh 1.2kg</t>
  </si>
  <si>
    <t>Balade Greek Yogurt, Low Fat, 450g</t>
  </si>
  <si>
    <t>Almarai Long Life Nijoom Chocolate Flavored Milk 150ml</t>
  </si>
  <si>
    <t>Forsana Cheddarella Analogue Chees  Shredded 200g</t>
  </si>
  <si>
    <t>Almarai Sandwich Cheese Slices 200g Pack of 4</t>
  </si>
  <si>
    <t>Saudia Long Life Skimmed Milk 200ml &amp;times; 24 Pieces</t>
  </si>
  <si>
    <t>Saudia Chocolate Milk 125ml</t>
  </si>
  <si>
    <t>The Three Cows Shredded Mozzarella Cheese(Analogue) 400g</t>
  </si>
  <si>
    <t>Smoked Cheese Plainper</t>
  </si>
  <si>
    <t>Nadec Fresh Cream 100g &amp;times; 2</t>
  </si>
  <si>
    <t>Nadec Ayran Laban 180ml</t>
  </si>
  <si>
    <t>Danette Dessert Cream Caramel 80g</t>
  </si>
  <si>
    <t>Zad Madinah Organic Goat Gouda Cheese 150g</t>
  </si>
  <si>
    <t>Pride Fancy Cheese Slices 500g</t>
  </si>
  <si>
    <t>Shelal Cheese, Syrian</t>
  </si>
  <si>
    <t>KDD UHT Chocolate Milk 180ml</t>
  </si>
  <si>
    <t>Almarai Chocolate Custard 85g</t>
  </si>
  <si>
    <t>Almarai Slice Cheese Sandwich, 20 Slices, 400g</t>
  </si>
  <si>
    <t>Almarai Double Chocolate Milk 225ml</t>
  </si>
  <si>
    <t>Saudia Double Choco Milk 200ml x15 + 3 Free</t>
  </si>
  <si>
    <t>Puck Mozzarella Cheddar 400g</t>
  </si>
  <si>
    <t>Nada Greek Labneh 200g - Rich in Protein, Smooth &amp;amp; Creamy</t>
  </si>
  <si>
    <t>Saudia Long Life Full Fat Milk 200ml</t>
  </si>
  <si>
    <t>Nadec Fresh Milk Low Fat 800ml</t>
  </si>
  <si>
    <t>Flora Plant Cooking Cream 1L</t>
  </si>
  <si>
    <t>Pride Cream Cheese Jar 900g</t>
  </si>
  <si>
    <t>Almarai Double Chocolate Fresh Milk 360ml</t>
  </si>
  <si>
    <t>President 0 Fat Slice Cheese 200g</t>
  </si>
  <si>
    <t>Dari Turkish Labneh 375g</t>
  </si>
  <si>
    <t>Saudia Strawberry Flavored Milk 200ml &amp;times; 15 + 3 Free</t>
  </si>
  <si>
    <t>Nada Full Fat Milk 1.75L</t>
  </si>
  <si>
    <t>Alsafi Full Fat Fresh Laban 850ml</t>
  </si>
  <si>
    <t>Double Cream Cheese</t>
  </si>
  <si>
    <t>Gran Albiero Cheese 200g</t>
  </si>
  <si>
    <t>Ghaneya Baladi Cheese Black Seeds(Per Kg)</t>
  </si>
  <si>
    <t>President Emmental Cheese Block 220g</t>
  </si>
  <si>
    <t>Pride Shredded Analogue Mozarella Cheese 1kg</t>
  </si>
  <si>
    <t>Nada Protein Milk With Real Dates 320ml</t>
  </si>
  <si>
    <t>Labneh low fat local (per kg)</t>
  </si>
  <si>
    <t>President Butter 200g</t>
  </si>
  <si>
    <t>Safio Mix Berries Yoghurt 110g</t>
  </si>
  <si>
    <t>Nada Full Fat Yogurt 1kg</t>
  </si>
  <si>
    <t>Goot - Pure Goat Ghee 400g</t>
  </si>
  <si>
    <t>Three Cows White Cheese Low Fat 200g</t>
  </si>
  <si>
    <t>Sunbulah Shredded Mozzarella Cheese 500g</t>
  </si>
  <si>
    <t>Puck Mozzarella And Kashkaval Shredded Cheese Mix 180g</t>
  </si>
  <si>
    <t>Pride Cheese Block Premium Choice 1.8 Kg</t>
  </si>
  <si>
    <t>President Unsalted Butter 100g</t>
  </si>
  <si>
    <t>Nadec Cheese Sliced Low Fat 400g</t>
  </si>
  <si>
    <t>Nadec Analogue Triangle Cheese 120g x5</t>
  </si>
  <si>
    <t>Nadec Analogue Shredded Mozzarella Cheese 200g</t>
  </si>
  <si>
    <t>Safio UHT Milk Vanilla 140ml X18</t>
  </si>
  <si>
    <t>Saudia Double Chocolate Milk 18x200ml</t>
  </si>
  <si>
    <t>Activia Yoghurt Go Drinkable Yogurt Snack Peach And Seeds 280ml</t>
  </si>
  <si>
    <t>Saudia Long Life Full Fat Milk 500ml</t>
  </si>
  <si>
    <t>Danette Vanilla Pudding Dessert 75g</t>
  </si>
  <si>
    <t>Puck Triangle Cheese 24 Pieces</t>
  </si>
  <si>
    <t>Puck Zaatar Labaneh 180g</t>
  </si>
  <si>
    <t>Saudia Hummus Dip Plain 215g</t>
  </si>
  <si>
    <t>Flora Plant Butter Salted 200g</t>
  </si>
  <si>
    <t>Kraft Processed Cheddar Cheese 190g</t>
  </si>
  <si>
    <t>Saudia Uht Full Fat Milk 500ml &amp;times;18</t>
  </si>
  <si>
    <t>Turkey Labneh Full Fat</t>
  </si>
  <si>
    <t>Alpro Proffes Soya Milk Coffee 1l</t>
  </si>
  <si>
    <t>Luna Cheddar Cheese 113g X4</t>
  </si>
  <si>
    <t>Alsafi Mozzarella Cheese 900g</t>
  </si>
  <si>
    <t>Pride Premium Block Cheese 500g</t>
  </si>
  <si>
    <t>Almarai Low Fat Slices Cheese 200g times 3  1 Free</t>
  </si>
  <si>
    <t>Matured Red Cheddar Cheese</t>
  </si>
  <si>
    <t>Nadec Ayran Laban Drink 225ml</t>
  </si>
  <si>
    <t>Nadec Full Cream Yoghurt 400Gram</t>
  </si>
  <si>
    <t>Galaxy Chocolate Cake Bar 27g x5</t>
  </si>
  <si>
    <t>Activia Low Fat Laban 375ml</t>
  </si>
  <si>
    <t>Nadec Lite Fresh Cream 100g x2</t>
  </si>
  <si>
    <t>Analogue Baramili Cheese</t>
  </si>
  <si>
    <t>Saha Eggs With Vitamin E x15</t>
  </si>
  <si>
    <t>Rainbow Uht Full Fat Milk 185ml &amp;times;18</t>
  </si>
  <si>
    <t>Nada Protein Alphonso Mango Juice - 320ml</t>
  </si>
  <si>
    <t>YOPRO Protein Stirred Yogurt Plain 150g &amp;ndash; 15g Protein, Triple Zero: No Added Sugar, No Fat, No Preservatives</t>
  </si>
  <si>
    <t>Balade Labneh Balls in Olive Oil, 500g</t>
  </si>
  <si>
    <t>Puck Cheddar Cheese Spread 500g</t>
  </si>
  <si>
    <t>Almarai Spreadable Cream Cheese 900g</t>
  </si>
  <si>
    <t>Sunbulah Light Haloumi Cheese 250g</t>
  </si>
  <si>
    <t>Danette Cookie Pudding Dessert 75g</t>
  </si>
  <si>
    <t>Dari Feta Cheese</t>
  </si>
  <si>
    <t>Zad Madina Vegan Coconut Milk Drink 750ml</t>
  </si>
  <si>
    <t>Nadec Full Fat Milk 360ml</t>
  </si>
  <si>
    <t>Anchor Unsalted Butter 380g</t>
  </si>
  <si>
    <t>Fresh Cream Local (Per Kg)</t>
  </si>
  <si>
    <t>Victoria Haloumi Cheese Slices 250g</t>
  </si>
  <si>
    <t>Saudia Long Life Chocolate Milk 1L</t>
  </si>
  <si>
    <t>Hungarian Feta Double Cream</t>
  </si>
  <si>
    <t>Alsafi Long Life Low Fat Milk 1L &amp;times; 12 Pieces</t>
  </si>
  <si>
    <t>Nada Full Cream Milk 1L</t>
  </si>
  <si>
    <t>Safio UHT Strawberry Milk 185mlx18</t>
  </si>
  <si>
    <t>Balade Farms - Zaatar &amp;amp; Cheese Mix 500g</t>
  </si>
  <si>
    <t>Luna Analogue Cheddar Cheese Block 1.8kg</t>
  </si>
  <si>
    <t>Akkawi Cheese Syria</t>
  </si>
  <si>
    <t>Puck Soft Cream Cheese Light 200g</t>
  </si>
  <si>
    <t>Balade Labneh Balls with Zaatar, 500g</t>
  </si>
  <si>
    <t>Violife Vegan Creamy Spread With Garlic And Herbs 150g</t>
  </si>
  <si>
    <t>Activia Drinkable Strawberry Yogurt 280ml</t>
  </si>
  <si>
    <t>Almarai Long Life Nijoom Strawberry Flavored Milk 150ml</t>
  </si>
  <si>
    <t>La Vache Qui Rit Cheese 32 Portion 480g</t>
  </si>
  <si>
    <t>Al Marai Lonig Life Full Fat Nijoom Plain Milk 150ml</t>
  </si>
  <si>
    <t>Danette Max Chocolate Dessert 130g x 4</t>
  </si>
  <si>
    <t>Almarai Protein Milk Strawberry &amp;amp; Banana 400ml &amp;ndash; 34g Protein &amp;ndash; Fat Free &amp;ndash; No Added Sugar</t>
  </si>
  <si>
    <t>Mazraa Halloumi Cheese 250g</t>
  </si>
  <si>
    <t>Nadak Ayran Cucumber &amp;amp; Mint Laban Drink 225ml</t>
  </si>
  <si>
    <t>Nahool Vanilla Cake Bar 23g</t>
  </si>
  <si>
    <t>Alsafi Turkish Labneh 180g</t>
  </si>
  <si>
    <t>La Vache qui rit Light Spreadable Cheese Triangles,24 portions,360g</t>
  </si>
  <si>
    <t>President Cheddar Cheese Processed And Pasteurized 450g</t>
  </si>
  <si>
    <t>Nadec Fresh Milk 200ml</t>
  </si>
  <si>
    <t>Frico Emmental Holland Cheese</t>
  </si>
  <si>
    <t>Scotti Barista Almond Drink 1L</t>
  </si>
  <si>
    <t>Almarai Fresh Full Fat Milk 360ml</t>
  </si>
  <si>
    <t>Zad Madina - Bio Goat Cheese 200g</t>
  </si>
  <si>
    <t>Alsafi Low Fat Fresh Milk 1.5L</t>
  </si>
  <si>
    <t>La Vache Qui Rit Original Spreadable Cheese Triangles,8 portions, 120g</t>
  </si>
  <si>
    <t>Grana Padano Cheese 200g</t>
  </si>
  <si>
    <t>Safio Strawberry Yoghurt, Immunity Booster, 110g</t>
  </si>
  <si>
    <t>Almarai Low Fat Cheddar Cheese 113g</t>
  </si>
  <si>
    <t>Nabulsi Cheese</t>
  </si>
  <si>
    <t>Domiyati Cheese</t>
  </si>
  <si>
    <t>Alsafi Full Fat Fresh Milk 850ml</t>
  </si>
  <si>
    <t>Almarai Date Milk 225ml</t>
  </si>
  <si>
    <t>Pride Lite Slice Cheese 400g</t>
  </si>
  <si>
    <t>Nada Basma Milk Long Life Chocolate Flavored 185ml x18Pieces</t>
  </si>
  <si>
    <t>Labaneh Jarashieh Jordan</t>
  </si>
  <si>
    <t>Balade Labneh Balls with Baraka, 500g</t>
  </si>
  <si>
    <t>Puck Grill Cheese Light 200g</t>
  </si>
  <si>
    <t>Luna Long Life Vanilla Flavored Milk 200ml &amp;times; 18</t>
  </si>
  <si>
    <t>Nadec Analogue Cheese Triangle Captain 120g x8 Portions Pack</t>
  </si>
  <si>
    <t>Al Rabie Full Fat Milk Long Life 1L</t>
  </si>
  <si>
    <t>Americana Vanilla Pound Cake 300g</t>
  </si>
  <si>
    <t>Pride Cooking Analog Cheese (10 Slices) 200g</t>
  </si>
  <si>
    <t>Puck Cheddar Cheese Slices 200g X 10</t>
  </si>
  <si>
    <t>Almarai Low Fat Fresh Laban 360ml</t>
  </si>
  <si>
    <t>Dari Halloumi Cheese For Burger 200g</t>
  </si>
  <si>
    <t>Al Safi UHT Milk Low Fat 1L</t>
  </si>
  <si>
    <t>Alsafi Low Fat Fresh Laban 1.5L</t>
  </si>
  <si>
    <t>Almarai Low Fat Cheese 56g</t>
  </si>
  <si>
    <t>Violife Creamy Greek White Cheese 150g</t>
  </si>
  <si>
    <t>Avonmore Cooking Cream 1L</t>
  </si>
  <si>
    <t>Almarai Strawbery Milk 225ml</t>
  </si>
  <si>
    <t>Safio Banana Yoghurt 110g</t>
  </si>
  <si>
    <t>Al Safi Ayran Laban 1.5L</t>
  </si>
  <si>
    <t>President Classics Edam Cheese (Per Kg)</t>
  </si>
  <si>
    <t>Puck Cream Analogue Cheese Spread 130g</t>
  </si>
  <si>
    <t>Nadec Fresh Milk Strawberry 360ml</t>
  </si>
  <si>
    <t>Danette Milkshake Chocolate Wafer 300ml</t>
  </si>
  <si>
    <t>Dari White Cheese Analogue 500g</t>
  </si>
  <si>
    <t>Alfailaq White Eggs 6 Pieces</t>
  </si>
  <si>
    <t>Lurpak Butter Unsalted 50g</t>
  </si>
  <si>
    <t>Almarai Full Fat Cheddar Cheese 56g</t>
  </si>
  <si>
    <t>Pride Zero Fat Slice Cheese 400g</t>
  </si>
  <si>
    <t>Almarai Long Life Nijoom Vanilla Flavoured Milk 150ml</t>
  </si>
  <si>
    <t>Kdd Full Fat Milk 1L</t>
  </si>
  <si>
    <t>Nadec Flavoured Milk Strawberry 185ml X18</t>
  </si>
  <si>
    <t>Nadec Fresh Strawberry Milk 200ml</t>
  </si>
  <si>
    <t>Nadec Full Fat -Long Life- Labneh, 375g</t>
  </si>
  <si>
    <t>Puck Tomato Sauce With Cream 500ml</t>
  </si>
  <si>
    <t>Balade Farms - Greek Yogurt Low Fat 180g</t>
  </si>
  <si>
    <t>Violife Original Creamy Cheese 150g</t>
  </si>
  <si>
    <t>Saudia Double Chocolate Milk 200ml</t>
  </si>
  <si>
    <t>Nadec Analogue Feta White Cheese Full Fat 500g</t>
  </si>
  <si>
    <t>Saudia Long Life Full Fat Milk 2l &amp;times; 6 Pieces</t>
  </si>
  <si>
    <t>Luna Cheddar Cheese 113g</t>
  </si>
  <si>
    <t>Saudia Long Life Strawberry Milk 200ml</t>
  </si>
  <si>
    <t>Saudia Long Life Low Fat Milk 200ml</t>
  </si>
  <si>
    <t>Bulgarian white sheep cheese</t>
  </si>
  <si>
    <t>Al Marai Protein Yoghurt Mango Drink 250ml (25g Of Protein)</t>
  </si>
  <si>
    <t>Puck Bechamel Sauce With Cheese 500ml</t>
  </si>
  <si>
    <t>Zad Madina - Bio Feta Cheese 150g</t>
  </si>
  <si>
    <t>Saudia Long Life Strawberry Milk 125ml</t>
  </si>
  <si>
    <t>Freshly Grated Romano Cheese 235g</t>
  </si>
  <si>
    <t>Nadec UHT Cotton Candy Milk 125ml</t>
  </si>
  <si>
    <t>Nadec UHT Milk Chocolate Flavored 125ml</t>
  </si>
  <si>
    <t>Yopro Protein Strawberry Milk 300ml</t>
  </si>
  <si>
    <t>Nadec Skimmed Fresh Yoghurt 170g</t>
  </si>
  <si>
    <t>Luna White Cream Cheese 900g</t>
  </si>
  <si>
    <t>Nada Fresh Milk Full Fat 800ml</t>
  </si>
  <si>
    <t>Telal Ghawar Marsia, 250g</t>
  </si>
  <si>
    <t>Saudia Banana Milk 200ml &amp;times; 15 + 3 Free</t>
  </si>
  <si>
    <t>Kdd Long Life Strawberry Flavored Milk Long Life 180ml &amp;times; 18</t>
  </si>
  <si>
    <t>Sunbulah Shredded Mozzarella Cheese 200g</t>
  </si>
  <si>
    <t>Pride Whipping Cream 1L</t>
  </si>
  <si>
    <t>Nada Low Fat Milk 1L</t>
  </si>
  <si>
    <t>Alsafi Cheese Slices Sandwich 400g</t>
  </si>
  <si>
    <t>Kdd Long Life Banana Milk 180ml &amp;times; 18 Pieces</t>
  </si>
  <si>
    <t>Puck Slice Cheese Low Fat 200g</t>
  </si>
  <si>
    <t>Americana Chocolate Pound Cake 290g</t>
  </si>
  <si>
    <t>Activia Full Fat Fresh Laban 375ml</t>
  </si>
  <si>
    <t>Sunbulah Halloumi Cheese 250g</t>
  </si>
  <si>
    <t>Nadec Chocolate Milk 200ml</t>
  </si>
  <si>
    <t>Almarai Cheddar Cheese 113g</t>
  </si>
  <si>
    <t>Nadec Cheese Slices Low Fat 200g X4</t>
  </si>
  <si>
    <t>Almarai Cream Cheese 432g Pack of 2</t>
  </si>
  <si>
    <t>Pride Cooking Cream 1L</t>
  </si>
  <si>
    <t>Forsana Unsalted Goat Butter 100g</t>
  </si>
  <si>
    <t>Saudia Choco Caramel Milk 200ml</t>
  </si>
  <si>
    <t>Nadec UHT Toffee Milk 125ml x18</t>
  </si>
  <si>
    <t>Forsana Slice Analogue Chees 200g X 2 + 1 Free</t>
  </si>
  <si>
    <t>Nadec Alhilal UHT Long Life Full Fresh Milk 185ml</t>
  </si>
  <si>
    <t>Pride Zero Fat Cheese Slices 200g</t>
  </si>
  <si>
    <t>Saudia Long Life Milk With Date 200ml</t>
  </si>
  <si>
    <t>Nadec Labneh Full Fat 700g</t>
  </si>
  <si>
    <t>Almarai Long Life Strawberry Milk 200ml</t>
  </si>
  <si>
    <t>Frico Selection, Cumin Gouda Cheese</t>
  </si>
  <si>
    <t>President Half Cream for thickening &amp;amp; cooking 1L</t>
  </si>
  <si>
    <t>Almarai Triangles Processed Cheese 8 Portions 120g</t>
  </si>
  <si>
    <t>Nadec Laban Full Fat 340ml</t>
  </si>
  <si>
    <t>PRESIDENT Squares Cheese, Pack of 12, 168g</t>
  </si>
  <si>
    <t>Saudia Uht Skimmed Milk 200ml</t>
  </si>
  <si>
    <t>Actimel Lemon &amp;amp; Ginger Dairy Drink 93ml x4</t>
  </si>
  <si>
    <t>Analogue Feta Cheese - Europe</t>
  </si>
  <si>
    <t>Amul Pasteurised Salted Butter 100g</t>
  </si>
  <si>
    <t>Nadec Long Life Milk Vanilla 125ml</t>
  </si>
  <si>
    <t>7Days Chocolate Cake Bar 400g</t>
  </si>
  <si>
    <t>Saudia Mango Milk 200ml &amp;times; 15 + 3 Free</t>
  </si>
  <si>
    <t>Baskin Robbins Vanilla Milk, 180ml</t>
  </si>
  <si>
    <t>Regal Picon Triangle Cheese 24 Portion 360g</t>
  </si>
  <si>
    <t>Violife Grated Grated Mozzarella Cheese 200g</t>
  </si>
  <si>
    <t>Saudia Hummus Dip Chili 215g</t>
  </si>
  <si>
    <t>Muratbey halloumi cheese 4 sliced 200 g</t>
  </si>
  <si>
    <t>Americana Quality Marble Pound Cake 300g</t>
  </si>
  <si>
    <t>Delizia Cheddar Orange</t>
  </si>
  <si>
    <t>Barebells - Protein Milkshake, Strawberry, 330ml</t>
  </si>
  <si>
    <t>Nadec Fresh Milk Mango 360ml</t>
  </si>
  <si>
    <t>Kdd Long Life Vanilla Milk 180ml</t>
  </si>
  <si>
    <t>Alsafi Fresh Cream 100g</t>
  </si>
  <si>
    <t>Saudia Vanilla Milk 125ml</t>
  </si>
  <si>
    <t>Almarai Low Fat Fresh Milk 500ml</t>
  </si>
  <si>
    <t>Almarai Smoky Mutabal 250g</t>
  </si>
  <si>
    <t>Nada Long Life Low Fat Milk 1L &amp;times; 12 Pieces</t>
  </si>
  <si>
    <t>Almarai Uht Low Fat Milk 200ml</t>
  </si>
  <si>
    <t>Almarai Flavored Laban Mango 340ml</t>
  </si>
  <si>
    <t>Nadec Long Life Milk Strawberry 125ml</t>
  </si>
  <si>
    <t>Safio Milk Vanilla 185ml X18</t>
  </si>
  <si>
    <t>Almarai Creamy Cheese 120g</t>
  </si>
  <si>
    <t>Nahool Mini Cake Roll Vanilla 23g</t>
  </si>
  <si>
    <t>Danette Cotton Candy Pudding Dessert 75g</t>
  </si>
  <si>
    <t>Alrabie Chocolate Biscuit Milk 125ml X18</t>
  </si>
  <si>
    <t>Almarai Processed Cream Cheese 1.1kg</t>
  </si>
  <si>
    <t>Saudia Long Life Banana Milk 200ml &amp;times;18</t>
  </si>
  <si>
    <t>Marai Square Cheese 12 Pieces &amp;times; 3 - 216g</t>
  </si>
  <si>
    <t>Almarai Long Life Strawberry Flavored Milk 200ml &amp;times; 18 Pieces</t>
  </si>
  <si>
    <t>Luna Iced Coffee, Protein Espresso, 240ml</t>
  </si>
  <si>
    <t>Domti Plus Full Cream White Cheese Analogue Feta with Olive Flavor &amp;ndash; Rich in Milk &amp;ndash; 125g</t>
  </si>
  <si>
    <t>Sunbulah Mozzarella Shredded 1kg</t>
  </si>
  <si>
    <t>Nadec Alhilal UHT Long Life Strawberry Flavored Milk 185ml</t>
  </si>
  <si>
    <t>Bulgarian White Cow Cheese</t>
  </si>
  <si>
    <t>KDD Strawberry Flavored Milk 180ml</t>
  </si>
  <si>
    <t>Saudia Baba Ghanoj 200g</t>
  </si>
  <si>
    <t>Danette Milkshake Vanilla And Chocolate 300ml</t>
  </si>
  <si>
    <t>Nadec Premium Zaatar Labneh 180g</t>
  </si>
  <si>
    <t>Puck Slice Cheese Regular 200g</t>
  </si>
  <si>
    <t>Danette Max Vanilla Dessert 130g x 4</t>
  </si>
  <si>
    <t>Analog Walima Mozzarella Cheese Per Kg</t>
  </si>
  <si>
    <t>Kdd 123 Chocolate Milk 125ml</t>
  </si>
  <si>
    <t>Flora -Plant Based- Unsalted Butter 100g +13% Free</t>
  </si>
  <si>
    <t>Al-Tieb Turkish Labneh</t>
  </si>
  <si>
    <t>Balade Farms - Cheese &amp;amp; Garlic Mix 500g</t>
  </si>
  <si>
    <t>Mazraa Nabulsi Low Fat Cheese 200g</t>
  </si>
  <si>
    <t>Violife Vegan Cocoa Spread 150g</t>
  </si>
  <si>
    <t>Nadec Labneh Full Fat 180g</t>
  </si>
  <si>
    <t>Balade Farms - Turkish Style Labneh 400g</t>
  </si>
  <si>
    <t>Valbreso Feta Cheese With Zaatar 200g</t>
  </si>
  <si>
    <t>Danette Caramel Pudding Dessert 75g</t>
  </si>
  <si>
    <t>Galaxy Caramel Cake Bar 27g x5</t>
  </si>
  <si>
    <t>Pride Sandwich Sensation Cheese Slices 400g</t>
  </si>
  <si>
    <t>Saudia Long Life Chocolate Milk 200ml</t>
  </si>
  <si>
    <t>Dari White Cheese Analogue 200g</t>
  </si>
  <si>
    <t>Parmesan Gran Biraghi Italiano &amp;ndash; Italian Cheese</t>
  </si>
  <si>
    <t>Safio Plain Milk 185ml</t>
  </si>
  <si>
    <t>Mazraa Dairy Alshakaa Sheep Nabulsi Cheese 150g</t>
  </si>
  <si>
    <t>Almarai Jar Cheese Blue 500g &amp;times;3</t>
  </si>
  <si>
    <t>Puck Cheese Triangles 120g &amp;times; 8 Portions</t>
  </si>
  <si>
    <t>Alsafi - Laban Strawberry Flavor 180ml</t>
  </si>
  <si>
    <t>Luna Iced Coffee Protein Caramel 240ml</t>
  </si>
  <si>
    <t>Safio Milk Banana 185ml X18</t>
  </si>
  <si>
    <t>Nadec Analogue Processed Cheddar Cheese Spread 500g</t>
  </si>
  <si>
    <t>Al Safi Premium Fresh Cream 100g</t>
  </si>
  <si>
    <t>Alpro Caramel Drink Barista Made From Oats &amp;amp; Soya 750ml</t>
  </si>
  <si>
    <t>Nada Full Fat Laban 800ml</t>
  </si>
  <si>
    <t>Danette Max Chocolate Dessert 130g</t>
  </si>
  <si>
    <t>Cheese Domyaty Old</t>
  </si>
  <si>
    <t>Galaxy Caramel Chocolate Milk 220ml</t>
  </si>
  <si>
    <t>Saudia Long Life Banana Milk 125ml</t>
  </si>
  <si>
    <t>Nadec Chocolate Milk 360ml</t>
  </si>
  <si>
    <t>Safio UHT Vanilla Milk 140ml</t>
  </si>
  <si>
    <t>Alrabie UHT Fat-Free Milk 185ml X18</t>
  </si>
  <si>
    <t>Amul Pasteurised Salted Butter 500g</t>
  </si>
  <si>
    <t>Nadec Fresh Milk Low Fat 200ml</t>
  </si>
  <si>
    <t>Saha Vitamin D Egg 15&amp;#39;s</t>
  </si>
  <si>
    <t>Egyptian -Istanbuli Style- Analogue Yellow Cheese</t>
  </si>
  <si>
    <t>Barebells - Protein Milkshake, Vanilla, 330m</t>
  </si>
  <si>
    <t>Danette Max Vanilla Dessert 130g</t>
  </si>
  <si>
    <t>Balade Farms - Turkish Style Labneh 180g</t>
  </si>
  <si>
    <t>Domti Plus Full Cream White Cheese Analogue Feta &amp;ndash; Rich in Milk &amp;ndash; 125g</t>
  </si>
  <si>
    <t>Zanetti Grana Padano Cheese 200g</t>
  </si>
  <si>
    <t>Galaxy Hazelnut Chocolate Milk 220ml</t>
  </si>
  <si>
    <t>Nada Full Fat Yogurt 170g</t>
  </si>
  <si>
    <t>Almarai Strawberry Flavored Fresh Milk 360ml</t>
  </si>
  <si>
    <t>Almarai Cheddar Cheese 200g</t>
  </si>
  <si>
    <t>Violife Creamy Labneh 150g</t>
  </si>
  <si>
    <t>Almarai Salted Caramel Milk 225ml</t>
  </si>
  <si>
    <t>Galaxy Vanilla Cake Bar 27g x5</t>
  </si>
  <si>
    <t>Luna White Cream Cheese 500g</t>
  </si>
  <si>
    <t>Galaxy Signature Chocolate Milk 220ml</t>
  </si>
  <si>
    <t>Vitnel Halloumi Cheese 250g</t>
  </si>
  <si>
    <t>Flora Unsalted Butter 400g + 100g Free</t>
  </si>
  <si>
    <t>Almarai Spreadable Cheddar Cheese 900g</t>
  </si>
  <si>
    <t>Riso Scotti Ricecoconut Biodrink 1l</t>
  </si>
  <si>
    <t>Flora Plant Butter Unsalted 200g</t>
  </si>
  <si>
    <t>Al Mazraa Sanabel Cheese 125g</t>
  </si>
  <si>
    <t>Nadec Mango Milk 200ml</t>
  </si>
  <si>
    <t>Saudia Milke With Date Long Life 200ml 18 Piece</t>
  </si>
  <si>
    <t>Nada Junior Chocolate Milk 115ml</t>
  </si>
  <si>
    <t>Forsana Analogue Chees Cheddar Shredded 1kg</t>
  </si>
  <si>
    <t>Nadec Analogue Cheese Cream Spread 240g</t>
  </si>
  <si>
    <t>Nadec Fresh Laban Strawberry Flavor 340ml</t>
  </si>
  <si>
    <t>Goot Unsalted Goat Butter 200g</t>
  </si>
  <si>
    <t>Alrabie Zein Milk Whole 125ml</t>
  </si>
  <si>
    <t>Galaxy Chocolate Cake Bar 27g</t>
  </si>
  <si>
    <t>Forsan Aanalogue Chees Mozzarella Block 1kg</t>
  </si>
  <si>
    <t>Fuchsia Fruit Cake 220g</t>
  </si>
  <si>
    <t>Nadec Premium Chili Labneh 180g</t>
  </si>
  <si>
    <t>Safio UHT Choco Milk 140ml</t>
  </si>
  <si>
    <t>Safio UHT Banana Milk 140mlx18</t>
  </si>
  <si>
    <t>Almarai Long Life Nijoom Banana Flavoured Milk 150ml</t>
  </si>
  <si>
    <t>Saudia Mango Flavored Milk 200 ml</t>
  </si>
  <si>
    <t>Bonny Flavored Milk Chocolate 250ml</t>
  </si>
  <si>
    <t>Avonmore Professional Whipping Cream 1L</t>
  </si>
  <si>
    <t>Luna Ice CoFull Fatee Caramel 240Ml</t>
  </si>
  <si>
    <t>Almarai Mango Flavoured Fresh Milk 360ml</t>
  </si>
  <si>
    <t>Balade Mini Plain Labneh Balls</t>
  </si>
  <si>
    <t>Goot - Analogue Goat Cheese Spread 500g</t>
  </si>
  <si>
    <t>Nadec Long Life Milk From 100% Fresh Cow&amp;#39;s Milk, Skimmed 1L x4</t>
  </si>
  <si>
    <t>Galaxy Hazelnut Cake Bar 27g x5</t>
  </si>
  <si>
    <t>Forsana Analogue Chees Block Cheddar 500g</t>
  </si>
  <si>
    <t>Alsafi Mango Flavoured Laban 340ml</t>
  </si>
  <si>
    <t>Saudia Long Life Banana Milk 200ml</t>
  </si>
  <si>
    <t>Violife Vegan Cheese Slices Cheddar 140g</t>
  </si>
  <si>
    <t>Balade Turkish Labneh</t>
  </si>
  <si>
    <t>Delizia Cheddar White</t>
  </si>
  <si>
    <t>Delamere Goat Cheese Hard 150g</t>
  </si>
  <si>
    <t>Kiri Glass Jar 900g</t>
  </si>
  <si>
    <t>Forsana Unsalted Butter 400g</t>
  </si>
  <si>
    <t>Forsana Analogue Cheese Slices  200g</t>
  </si>
  <si>
    <t>Kdd Long Life Banana Milk 180ml</t>
  </si>
  <si>
    <t>Balade Labneh Balls With Black Sesame Seeds Mini</t>
  </si>
  <si>
    <t>Yasmin Cheddar Cheese (Analogue) 1.8kg</t>
  </si>
  <si>
    <t>Alrabie Zein Milk Chocolate 125ml</t>
  </si>
  <si>
    <t>Alsafi Strawberry Flavoured Laban 340ml</t>
  </si>
  <si>
    <t>Luna UHT Chocolate Milk 200ml</t>
  </si>
  <si>
    <t>Luna Ice CoFull Fatee 240ml</t>
  </si>
  <si>
    <t>Scotti Bio Barista Soy Drink 1L</t>
  </si>
  <si>
    <t>Alrabie UHT Chocolate Milk 185ml X18</t>
  </si>
  <si>
    <t>Safio UHT Strawberry Milk 140ml</t>
  </si>
  <si>
    <t>Luna Long Life Chocolate Flavored Milk 200ml &amp;times; 18</t>
  </si>
  <si>
    <t>Nadec Analogue White Cream Cheese 900g</t>
  </si>
  <si>
    <t>Forsana Shredded Analogue Chees Mozarella 500g</t>
  </si>
  <si>
    <t>Forsana Unsaltedgoat Butter 100g</t>
  </si>
  <si>
    <t>Luna UTH Full Fat Milk 200ml</t>
  </si>
  <si>
    <t>Forsana Labneh 400g</t>
  </si>
  <si>
    <t>Al Safi Mozzarella Cheese 500g</t>
  </si>
  <si>
    <t>Alsafi Cheese Slices Sandwich 200g</t>
  </si>
  <si>
    <t>Forsana Analogue Mozarella Block 200g</t>
  </si>
  <si>
    <t>Alrabie UHT Strawberry Milk 185ml X18</t>
  </si>
  <si>
    <t>Nadec UHT Toffee Milk 125ml</t>
  </si>
  <si>
    <t>La Vache qui rit Cream Cheese Jar, Rich in Calcium, Vitamin A  D, 900g</t>
  </si>
  <si>
    <t>Nadec Salted Caramel Flavored Fresh Milk 225ml</t>
  </si>
  <si>
    <t>La Vache Qui Rit Cream Cheese 500g &amp;times; 2</t>
  </si>
  <si>
    <t>Nadec Analogue Cheese Cream Jar 140g</t>
  </si>
  <si>
    <t>Violife Mozzarella Cheese Slices 140g</t>
  </si>
  <si>
    <t>Galaxy Caramel Cake Bar 27g</t>
  </si>
  <si>
    <t>Al Rabie UHT Full Fat Milk 185ml</t>
  </si>
  <si>
    <t>Alrabie Zein Milk Strawberry 125ml</t>
  </si>
  <si>
    <t>Galaxy Hazelnut Cake Bar 27g</t>
  </si>
  <si>
    <t>Barebells - Protein Milkshake, Banana, 330m</t>
  </si>
  <si>
    <t>La Vache qui rit Cheddar Cheese Slices, 24 Slices, 480g</t>
  </si>
  <si>
    <t>Muratbey - Naboulsi Cheese 200g</t>
  </si>
  <si>
    <t>Nadec Fresh Mango Laban Drink 340ml</t>
  </si>
  <si>
    <t>Luna Ice CoFull Fatee Mocca 240ml</t>
  </si>
  <si>
    <t>Americana Chocolate Chips Pound Cake 290g</t>
  </si>
  <si>
    <t>Alrabie Biscuit Milk 185ml X18</t>
  </si>
  <si>
    <t>Alrabie Biscuit Milk 185ml</t>
  </si>
  <si>
    <t>Nadec Analogue Cheese Triangle 240g</t>
  </si>
  <si>
    <t>Pristine - Multipurpose Cream (Cooking, Whipping, Pouring) 1L</t>
  </si>
  <si>
    <t>Safio UHT Choco Milk 185ml</t>
  </si>
  <si>
    <t>Alrabie UHT Chocolate Milk 185ml</t>
  </si>
  <si>
    <t>Nadec UHT Milk Chocolate Flavored 185ml</t>
  </si>
  <si>
    <t>Nada Danyah Strawberry Milk 185ml</t>
  </si>
  <si>
    <t>Nadec Fresh Mango Laban Drink 180ml</t>
  </si>
  <si>
    <t>Safio UHT Vanilla Milk 185ml</t>
  </si>
  <si>
    <t>Saudia - Mango Flavored Milk 200ml x18</t>
  </si>
  <si>
    <t>Balade - Mini Labneh Ball Chili</t>
  </si>
  <si>
    <t>Bonny - Strawberry Flavored Milk Drink 250ml</t>
  </si>
  <si>
    <t>Nada Junior Milk Strawberry 125ml</t>
  </si>
  <si>
    <t>La Vache qui rit Original Spreadable Cheese Triangles 240g</t>
  </si>
  <si>
    <t>Nada Full Fat Laban 360ml</t>
  </si>
  <si>
    <t>Nadec Analogue Cheese Triangle 360g</t>
  </si>
  <si>
    <t>Luna UHT Banana Milk 200ml</t>
  </si>
  <si>
    <t>Nada azzoz strawberry milk 200ml</t>
  </si>
  <si>
    <t>Galaxy Signature Chocolate Drink 1L</t>
  </si>
  <si>
    <t>Pride Cooking Slice Analogue Cheese 400g</t>
  </si>
  <si>
    <t>Forsana Mozzarella Analogue Chees Shredded 1kg</t>
  </si>
  <si>
    <t>Pride Fancy Cheese Slices 250g</t>
  </si>
  <si>
    <t>Forsana Mozzarella Analogue Chees Shredded 200g</t>
  </si>
  <si>
    <t>Forsana Analogue Chees Block Cheddar 1 Kg</t>
  </si>
  <si>
    <t>Balade Labneh Balls with Chilli, 500g</t>
  </si>
  <si>
    <t>Uni Gold Unsalted Butter Blended</t>
  </si>
  <si>
    <t>Safio UHT Banana Milk 140ml</t>
  </si>
  <si>
    <t>Safio UHT Strawberry Milk 185ml</t>
  </si>
  <si>
    <t>Almarai Spreadable Cheddar Cheese 200g</t>
  </si>
  <si>
    <t>Nada Danyah Milk Long Life Chocolate Flavored 185ml</t>
  </si>
  <si>
    <t>Al Rabie UHT Strawberry Milk 185ml</t>
  </si>
  <si>
    <t>Luna Ice CoFull Fatee Cappuccino 240Ml</t>
  </si>
  <si>
    <t>Al Rabie Chocolate Biscuit Milk 125ml</t>
  </si>
  <si>
    <t>Nada azzoz full fat long life milk 200ml</t>
  </si>
  <si>
    <t>Arla Protein Hazelnut Latte Flavor Pudding 200g</t>
  </si>
  <si>
    <t>Nadec UHT Milk Strawberry Flavored 185ml</t>
  </si>
  <si>
    <t>Rainbow Long Life Full Cream Milk 185ml</t>
  </si>
  <si>
    <t>Safio UHT Banana Milk 185ml</t>
  </si>
  <si>
    <t>Hanaa Banana Flavoured Milk 240ml</t>
  </si>
  <si>
    <t>Saudia Vanilla Milk 200ml</t>
  </si>
  <si>
    <t>Activia Yoghurt Go Drinkable Yogurt Snack Kiwi-Strawberry 280ml</t>
  </si>
  <si>
    <t>Balade Farms - Makdous &amp;amp; Cheese Mix 500g</t>
  </si>
  <si>
    <t>Al Marai Foul With Hummus 50g</t>
  </si>
  <si>
    <t>Saudia Vanilla Flavored Soya Milk 1L</t>
  </si>
  <si>
    <t>Nadec Grk Yog Plain Lf 160g</t>
  </si>
  <si>
    <t>Nadec Whole Milk Long Life 200 ml</t>
  </si>
  <si>
    <t>Al Safi Full Fat Laban 360ml</t>
  </si>
  <si>
    <t>Al Safi Full Fat Fresh Milk 360ml</t>
  </si>
  <si>
    <t>Almarai Long Life Full Fat Milk 200ml</t>
  </si>
  <si>
    <t>Nadec Fresh Yoghurt Low Fat 2kg</t>
  </si>
  <si>
    <t>Domti Veta Plus White Cheese &amp;ndash; Full Cream Feta Cheese Analogue &amp;ndash; Rich in Milk &amp;ndash; 250g</t>
  </si>
  <si>
    <t>Nada Full Fat Yogurt 170g &amp;times; 6</t>
  </si>
  <si>
    <t>Alpro Vanilla Drink Barista Made From Oat &amp;amp; Soya 750ml</t>
  </si>
  <si>
    <t>Nadec Long Life Banana Milk 125ml</t>
  </si>
  <si>
    <t>Almarai Low Fat Fresh Milk With Added Vitamins 180ml</t>
  </si>
  <si>
    <t>Baskin Robbins Chocolate Milk, 180ml</t>
  </si>
  <si>
    <t>Balade Kefir Milk, Strawberry, 225ml</t>
  </si>
  <si>
    <t>Al Safi UHT Skimmed Milk 1L</t>
  </si>
  <si>
    <t>Danette Vanilla Pudding Dessert 75g + 6g Choco Balls</t>
  </si>
  <si>
    <t xml:space="preserve">NADEC Premium Olive Labneh Soft &amp;amp; Creamy, 180g  </t>
  </si>
  <si>
    <t xml:space="preserve">Domti Veta White Cheese &amp;ndash; Feta Cheese Analogue Full Cream &amp;ndash; 700g
</t>
  </si>
  <si>
    <t>Domti Veta Plus White Cheese with Olive Flavor &amp;ndash; Full Cream Feta Cheese Analogue &amp;ndash; Rich in Milk &amp;ndash; 250g</t>
  </si>
  <si>
    <t>7Days Chocolate Cake Bar 200g</t>
  </si>
  <si>
    <t>Galaxy Vanilla Cake Bar 27g</t>
  </si>
  <si>
    <t>Luna UHT Vanilla Milk 200ml</t>
  </si>
  <si>
    <t>Domti Double Cream Cheese &amp;ndash; White Cheese Analogue &amp;ndash; 700g</t>
  </si>
  <si>
    <t>Al Safi Fresh Full Fat Milk 180ml</t>
  </si>
  <si>
    <t>Almarai Premium Full Fat Feta Cheese 400g</t>
  </si>
  <si>
    <t>Balade Feta Cheese</t>
  </si>
  <si>
    <t>Dari Halloumi Cheese With Red Chili Peper 225g</t>
  </si>
  <si>
    <t>Saudia Long Life Full Fat Milk 125ml</t>
  </si>
  <si>
    <t>Danette Chocolate Pudding Dessert 75g + 7g Candy Beans</t>
  </si>
  <si>
    <t>Telal Ghawar - Kunafa Dough 600g</t>
  </si>
  <si>
    <t>Balade Farms - Chanklish &amp;amp; Cheese Mix 500g</t>
  </si>
  <si>
    <t>Violife Greek White Cheese Block 230g</t>
  </si>
  <si>
    <t>Balade Fetta Cheese in Olive Oil, 500g</t>
  </si>
  <si>
    <t>Balade Farms - Lactos Free Feta Cheese 150g</t>
  </si>
  <si>
    <t>Nadec Fresh Laban Strawberry 180ml</t>
  </si>
  <si>
    <t>Delamere Long Life Whole Goat Milk 1L</t>
  </si>
  <si>
    <t>Elle &amp;amp; Vire Cooking Cream 500 ml</t>
  </si>
  <si>
    <t>Balade Mini Labneh Ball With Zatar</t>
  </si>
  <si>
    <t>Al Safi Cooking Cream 1l</t>
  </si>
  <si>
    <t>Yopro Protein Matcha Milk 300ml</t>
  </si>
  <si>
    <t>Violife Cheddar Cheese Block 200g</t>
  </si>
  <si>
    <t>Bonny Flavored Milk Banana 250ml</t>
  </si>
  <si>
    <t>Nada Azzoz Chocolate Milk 185ml</t>
  </si>
  <si>
    <t>Violife Vegan Original Flavor Slice 140g</t>
  </si>
  <si>
    <t>Nada Junior Milk 125ml</t>
  </si>
  <si>
    <t>Nadec Chocolate &amp;amp; Coconut Flavored Fresh Milk 225ml</t>
  </si>
  <si>
    <t>Hanaa Strawberry Flavour Milk 240ml</t>
  </si>
  <si>
    <t>Fucshia Round Vanilla Cake 70g</t>
  </si>
  <si>
    <t>Fusia Plain Cup Cake</t>
  </si>
  <si>
    <t>Luna Iced Coffee Protein Caramel 240ml x24</t>
  </si>
  <si>
    <t>Snickers Flavored Chocolate Milk (Reduced Fat) 414ml</t>
  </si>
  <si>
    <t>Pride Block Light Tasty Low Fat 1kg</t>
  </si>
  <si>
    <t>YOPRO Triple Zero Protein Yogurt Mixed Berries 150g &amp;ndash; 15g Protein, No Added Sugar, Fat-Free, No Preservatives</t>
  </si>
  <si>
    <t>Reflets De France Brillat Savarin Cheese 200g</t>
  </si>
  <si>
    <t>Luna Iced Coffee Protein Espresso 240ml x24</t>
  </si>
  <si>
    <t>Amul Unsalted Butter 500g</t>
  </si>
  <si>
    <t>Twix Flavored Chocolate Milk (Fat Reduced) 414g</t>
  </si>
  <si>
    <t>Nada Basma Long Life Full Fat Milk 185ml</t>
  </si>
  <si>
    <t>دانيت شوكولاتة باللبن 75 جرام</t>
  </si>
  <si>
    <t>المراعي حليب نجوم بنكهة الشوكلاته طويل الأجل 150 مل</t>
  </si>
  <si>
    <t>نادك حليب طويل الأجل كامل الدسم 200 مل</t>
  </si>
  <si>
    <t xml:space="preserve">Almarai Long Life Nijoom Chocolate Flavored Milk 150ml </t>
  </si>
  <si>
    <t>منتجات الألبان والبيض</t>
  </si>
  <si>
    <t>DAIRY0001</t>
  </si>
  <si>
    <t>DAIRY0002</t>
  </si>
  <si>
    <t>DAIRY0003</t>
  </si>
  <si>
    <t>DAIRY0004</t>
  </si>
  <si>
    <t>DAIRY0005</t>
  </si>
  <si>
    <t>DAIRY0006</t>
  </si>
  <si>
    <t>DAIRY0007</t>
  </si>
  <si>
    <t>DAIRY0008</t>
  </si>
  <si>
    <t>DAIRY0009</t>
  </si>
  <si>
    <t>DAIRY0010</t>
  </si>
  <si>
    <t>DAIRY0011</t>
  </si>
  <si>
    <t>DAIRY0012</t>
  </si>
  <si>
    <t>DAIRY0013</t>
  </si>
  <si>
    <t>DAIRY0014</t>
  </si>
  <si>
    <t>DAIRY0015</t>
  </si>
  <si>
    <t>DAIRY0016</t>
  </si>
  <si>
    <t>DAIRY0017</t>
  </si>
  <si>
    <t>DAIRY0018</t>
  </si>
  <si>
    <t>DAIRY0019</t>
  </si>
  <si>
    <t>DAIRY0020</t>
  </si>
  <si>
    <t>DAIRY0021</t>
  </si>
  <si>
    <t>DAIRY0022</t>
  </si>
  <si>
    <t>DAIRY0023</t>
  </si>
  <si>
    <t>DAIRY0024</t>
  </si>
  <si>
    <t>DAIRY0025</t>
  </si>
  <si>
    <t>DAIRY0026</t>
  </si>
  <si>
    <t>DAIRY0027</t>
  </si>
  <si>
    <t>DAIRY0028</t>
  </si>
  <si>
    <t>DAIRY0029</t>
  </si>
  <si>
    <t>DAIRY0030</t>
  </si>
  <si>
    <t>DAIRY0031</t>
  </si>
  <si>
    <t>DAIRY0032</t>
  </si>
  <si>
    <t>DAIRY0033</t>
  </si>
  <si>
    <t>DAIRY0034</t>
  </si>
  <si>
    <t>DAIRY0035</t>
  </si>
  <si>
    <t>DAIRY0036</t>
  </si>
  <si>
    <t>DAIRY0037</t>
  </si>
  <si>
    <t>DAIRY0038</t>
  </si>
  <si>
    <t>DAIRY0039</t>
  </si>
  <si>
    <t>DAIRY0040</t>
  </si>
  <si>
    <t>DAIRY0991</t>
  </si>
  <si>
    <t>DAIRY0992</t>
  </si>
  <si>
    <t>DAIRY0993</t>
  </si>
  <si>
    <t>DAIRY0994</t>
  </si>
  <si>
    <t>DAIRY0995</t>
  </si>
  <si>
    <t>DAIRY0996</t>
  </si>
  <si>
    <t>DAIRY0997</t>
  </si>
  <si>
    <t>DAIRY0998</t>
  </si>
  <si>
    <t>DAIRY0999</t>
  </si>
  <si>
    <t>DAIRY1000</t>
  </si>
  <si>
    <t>DAIRY0041</t>
  </si>
  <si>
    <t>DAIRY0042</t>
  </si>
  <si>
    <t>DAIRY0043</t>
  </si>
  <si>
    <t>DAIRY0044</t>
  </si>
  <si>
    <t>DAIRY0045</t>
  </si>
  <si>
    <t>DAIRY0046</t>
  </si>
  <si>
    <t>DAIRY0047</t>
  </si>
  <si>
    <t>DAIRY0048</t>
  </si>
  <si>
    <t>DAIRY0049</t>
  </si>
  <si>
    <t>DAIRY0050</t>
  </si>
  <si>
    <t>DAIRY0051</t>
  </si>
  <si>
    <t>DAIRY0052</t>
  </si>
  <si>
    <t>DAIRY0053</t>
  </si>
  <si>
    <t>DAIRY0054</t>
  </si>
  <si>
    <t>DAIRY0055</t>
  </si>
  <si>
    <t>DAIRY0056</t>
  </si>
  <si>
    <t>DAIRY0057</t>
  </si>
  <si>
    <t>DAIRY0058</t>
  </si>
  <si>
    <t>DAIRY0059</t>
  </si>
  <si>
    <t>DAIRY0060</t>
  </si>
  <si>
    <t>DAIRY0061</t>
  </si>
  <si>
    <t>DAIRY0062</t>
  </si>
  <si>
    <t>DAIRY0063</t>
  </si>
  <si>
    <t>DAIRY0064</t>
  </si>
  <si>
    <t>DAIRY0065</t>
  </si>
  <si>
    <t>DAIRY0066</t>
  </si>
  <si>
    <t>DAIRY0067</t>
  </si>
  <si>
    <t>DAIRY0068</t>
  </si>
  <si>
    <t>DAIRY0069</t>
  </si>
  <si>
    <t>DAIRY0070</t>
  </si>
  <si>
    <t>DAIRY0071</t>
  </si>
  <si>
    <t>DAIRY0072</t>
  </si>
  <si>
    <t>DAIRY0073</t>
  </si>
  <si>
    <t>DAIRY0074</t>
  </si>
  <si>
    <t>DAIRY0075</t>
  </si>
  <si>
    <t>DAIRY0076</t>
  </si>
  <si>
    <t>DAIRY0077</t>
  </si>
  <si>
    <t>DAIRY0078</t>
  </si>
  <si>
    <t>DAIRY0079</t>
  </si>
  <si>
    <t>DAIRY0080</t>
  </si>
  <si>
    <t>DAIRY0081</t>
  </si>
  <si>
    <t>DAIRY0082</t>
  </si>
  <si>
    <t>DAIRY0083</t>
  </si>
  <si>
    <t>DAIRY0084</t>
  </si>
  <si>
    <t>DAIRY0085</t>
  </si>
  <si>
    <t>DAIRY0086</t>
  </si>
  <si>
    <t>DAIRY0087</t>
  </si>
  <si>
    <t>DAIRY0088</t>
  </si>
  <si>
    <t>DAIRY0089</t>
  </si>
  <si>
    <t>DAIRY0090</t>
  </si>
  <si>
    <t>DAIRY0091</t>
  </si>
  <si>
    <t>DAIRY0092</t>
  </si>
  <si>
    <t>DAIRY0093</t>
  </si>
  <si>
    <t>DAIRY0094</t>
  </si>
  <si>
    <t>DAIRY0095</t>
  </si>
  <si>
    <t>DAIRY0096</t>
  </si>
  <si>
    <t>DAIRY0097</t>
  </si>
  <si>
    <t>DAIRY0098</t>
  </si>
  <si>
    <t>DAIRY0099</t>
  </si>
  <si>
    <t>DAIRY0100</t>
  </si>
  <si>
    <t>DAIRY0101</t>
  </si>
  <si>
    <t>DAIRY0102</t>
  </si>
  <si>
    <t>DAIRY0103</t>
  </si>
  <si>
    <t>DAIRY0104</t>
  </si>
  <si>
    <t>DAIRY0105</t>
  </si>
  <si>
    <t>DAIRY0106</t>
  </si>
  <si>
    <t>DAIRY0107</t>
  </si>
  <si>
    <t>DAIRY0108</t>
  </si>
  <si>
    <t>DAIRY0109</t>
  </si>
  <si>
    <t>DAIRY0110</t>
  </si>
  <si>
    <t>DAIRY0111</t>
  </si>
  <si>
    <t>DAIRY0112</t>
  </si>
  <si>
    <t>DAIRY0113</t>
  </si>
  <si>
    <t>DAIRY0114</t>
  </si>
  <si>
    <t>DAIRY0115</t>
  </si>
  <si>
    <t>DAIRY0116</t>
  </si>
  <si>
    <t>DAIRY0117</t>
  </si>
  <si>
    <t>DAIRY0118</t>
  </si>
  <si>
    <t>DAIRY0119</t>
  </si>
  <si>
    <t>DAIRY0120</t>
  </si>
  <si>
    <t>DAIRY0121</t>
  </si>
  <si>
    <t>DAIRY0122</t>
  </si>
  <si>
    <t>DAIRY0123</t>
  </si>
  <si>
    <t>DAIRY0124</t>
  </si>
  <si>
    <t>DAIRY0125</t>
  </si>
  <si>
    <t>DAIRY0126</t>
  </si>
  <si>
    <t>DAIRY0127</t>
  </si>
  <si>
    <t>DAIRY0128</t>
  </si>
  <si>
    <t>DAIRY0129</t>
  </si>
  <si>
    <t>DAIRY0130</t>
  </si>
  <si>
    <t>DAIRY0131</t>
  </si>
  <si>
    <t>DAIRY0132</t>
  </si>
  <si>
    <t>DAIRY0133</t>
  </si>
  <si>
    <t>DAIRY0134</t>
  </si>
  <si>
    <t>DAIRY0135</t>
  </si>
  <si>
    <t>DAIRY0136</t>
  </si>
  <si>
    <t>DAIRY0137</t>
  </si>
  <si>
    <t>DAIRY0138</t>
  </si>
  <si>
    <t>DAIRY0139</t>
  </si>
  <si>
    <t>DAIRY0140</t>
  </si>
  <si>
    <t>DAIRY0141</t>
  </si>
  <si>
    <t>DAIRY0142</t>
  </si>
  <si>
    <t>DAIRY0143</t>
  </si>
  <si>
    <t>DAIRY0144</t>
  </si>
  <si>
    <t>DAIRY0145</t>
  </si>
  <si>
    <t>DAIRY0146</t>
  </si>
  <si>
    <t>DAIRY0147</t>
  </si>
  <si>
    <t>DAIRY0148</t>
  </si>
  <si>
    <t>DAIRY0149</t>
  </si>
  <si>
    <t>DAIRY0150</t>
  </si>
  <si>
    <t>DAIRY0151</t>
  </si>
  <si>
    <t>DAIRY0152</t>
  </si>
  <si>
    <t>DAIRY0153</t>
  </si>
  <si>
    <t>DAIRY0154</t>
  </si>
  <si>
    <t>DAIRY0155</t>
  </si>
  <si>
    <t>DAIRY0156</t>
  </si>
  <si>
    <t>DAIRY0157</t>
  </si>
  <si>
    <t>DAIRY0158</t>
  </si>
  <si>
    <t>DAIRY0159</t>
  </si>
  <si>
    <t>DAIRY0160</t>
  </si>
  <si>
    <t>DAIRY0161</t>
  </si>
  <si>
    <t>DAIRY0162</t>
  </si>
  <si>
    <t>DAIRY0163</t>
  </si>
  <si>
    <t>DAIRY0164</t>
  </si>
  <si>
    <t>DAIRY0165</t>
  </si>
  <si>
    <t>DAIRY0166</t>
  </si>
  <si>
    <t>DAIRY0167</t>
  </si>
  <si>
    <t>DAIRY0168</t>
  </si>
  <si>
    <t>DAIRY0169</t>
  </si>
  <si>
    <t>DAIRY0170</t>
  </si>
  <si>
    <t>DAIRY0171</t>
  </si>
  <si>
    <t>DAIRY0172</t>
  </si>
  <si>
    <t>DAIRY0173</t>
  </si>
  <si>
    <t>DAIRY0174</t>
  </si>
  <si>
    <t>DAIRY0175</t>
  </si>
  <si>
    <t>DAIRY0176</t>
  </si>
  <si>
    <t>DAIRY0177</t>
  </si>
  <si>
    <t>DAIRY0178</t>
  </si>
  <si>
    <t>DAIRY0179</t>
  </si>
  <si>
    <t>DAIRY0180</t>
  </si>
  <si>
    <t>DAIRY0181</t>
  </si>
  <si>
    <t>DAIRY0182</t>
  </si>
  <si>
    <t>DAIRY0183</t>
  </si>
  <si>
    <t>DAIRY0184</t>
  </si>
  <si>
    <t>DAIRY0185</t>
  </si>
  <si>
    <t>DAIRY0186</t>
  </si>
  <si>
    <t>DAIRY0187</t>
  </si>
  <si>
    <t>DAIRY0188</t>
  </si>
  <si>
    <t>DAIRY0189</t>
  </si>
  <si>
    <t>DAIRY0190</t>
  </si>
  <si>
    <t>DAIRY0191</t>
  </si>
  <si>
    <t>DAIRY0192</t>
  </si>
  <si>
    <t>DAIRY0193</t>
  </si>
  <si>
    <t>DAIRY0194</t>
  </si>
  <si>
    <t>DAIRY0195</t>
  </si>
  <si>
    <t>DAIRY0196</t>
  </si>
  <si>
    <t>DAIRY0197</t>
  </si>
  <si>
    <t>DAIRY0198</t>
  </si>
  <si>
    <t>DAIRY0199</t>
  </si>
  <si>
    <t>DAIRY0200</t>
  </si>
  <si>
    <t>DAIRY0201</t>
  </si>
  <si>
    <t>DAIRY0202</t>
  </si>
  <si>
    <t>DAIRY0203</t>
  </si>
  <si>
    <t>DAIRY0204</t>
  </si>
  <si>
    <t>DAIRY0205</t>
  </si>
  <si>
    <t>DAIRY0206</t>
  </si>
  <si>
    <t>DAIRY0207</t>
  </si>
  <si>
    <t>DAIRY0208</t>
  </si>
  <si>
    <t>DAIRY0209</t>
  </si>
  <si>
    <t>DAIRY0210</t>
  </si>
  <si>
    <t>DAIRY0211</t>
  </si>
  <si>
    <t>DAIRY0212</t>
  </si>
  <si>
    <t>DAIRY0213</t>
  </si>
  <si>
    <t>DAIRY0214</t>
  </si>
  <si>
    <t>DAIRY0215</t>
  </si>
  <si>
    <t>DAIRY0216</t>
  </si>
  <si>
    <t>DAIRY0217</t>
  </si>
  <si>
    <t>DAIRY0218</t>
  </si>
  <si>
    <t>DAIRY0219</t>
  </si>
  <si>
    <t>DAIRY0220</t>
  </si>
  <si>
    <t>DAIRY0221</t>
  </si>
  <si>
    <t>DAIRY0222</t>
  </si>
  <si>
    <t>DAIRY0223</t>
  </si>
  <si>
    <t>DAIRY0224</t>
  </si>
  <si>
    <t>DAIRY0225</t>
  </si>
  <si>
    <t>DAIRY0226</t>
  </si>
  <si>
    <t>DAIRY0227</t>
  </si>
  <si>
    <t>DAIRY0228</t>
  </si>
  <si>
    <t>DAIRY0229</t>
  </si>
  <si>
    <t>DAIRY0230</t>
  </si>
  <si>
    <t>DAIRY0231</t>
  </si>
  <si>
    <t>DAIRY0232</t>
  </si>
  <si>
    <t>DAIRY0233</t>
  </si>
  <si>
    <t>DAIRY0234</t>
  </si>
  <si>
    <t>DAIRY0235</t>
  </si>
  <si>
    <t>DAIRY0236</t>
  </si>
  <si>
    <t>DAIRY0237</t>
  </si>
  <si>
    <t>DAIRY0238</t>
  </si>
  <si>
    <t>DAIRY0239</t>
  </si>
  <si>
    <t>DAIRY0240</t>
  </si>
  <si>
    <t>DAIRY0241</t>
  </si>
  <si>
    <t>DAIRY0242</t>
  </si>
  <si>
    <t>DAIRY0243</t>
  </si>
  <si>
    <t>DAIRY0244</t>
  </si>
  <si>
    <t>DAIRY0245</t>
  </si>
  <si>
    <t>DAIRY0246</t>
  </si>
  <si>
    <t>DAIRY0247</t>
  </si>
  <si>
    <t>DAIRY0248</t>
  </si>
  <si>
    <t>DAIRY0249</t>
  </si>
  <si>
    <t>DAIRY0250</t>
  </si>
  <si>
    <t>DAIRY0251</t>
  </si>
  <si>
    <t>DAIRY0252</t>
  </si>
  <si>
    <t>DAIRY0253</t>
  </si>
  <si>
    <t>DAIRY0254</t>
  </si>
  <si>
    <t>DAIRY0255</t>
  </si>
  <si>
    <t>DAIRY0256</t>
  </si>
  <si>
    <t>DAIRY0257</t>
  </si>
  <si>
    <t>DAIRY0258</t>
  </si>
  <si>
    <t>DAIRY0259</t>
  </si>
  <si>
    <t>DAIRY0260</t>
  </si>
  <si>
    <t>DAIRY0261</t>
  </si>
  <si>
    <t>DAIRY0262</t>
  </si>
  <si>
    <t>DAIRY0263</t>
  </si>
  <si>
    <t>DAIRY0264</t>
  </si>
  <si>
    <t>DAIRY0265</t>
  </si>
  <si>
    <t>DAIRY0266</t>
  </si>
  <si>
    <t>DAIRY0267</t>
  </si>
  <si>
    <t>DAIRY0268</t>
  </si>
  <si>
    <t>DAIRY0269</t>
  </si>
  <si>
    <t>DAIRY0270</t>
  </si>
  <si>
    <t>DAIRY0271</t>
  </si>
  <si>
    <t>DAIRY0272</t>
  </si>
  <si>
    <t>DAIRY0273</t>
  </si>
  <si>
    <t>DAIRY0274</t>
  </si>
  <si>
    <t>DAIRY0275</t>
  </si>
  <si>
    <t>DAIRY0276</t>
  </si>
  <si>
    <t>DAIRY0277</t>
  </si>
  <si>
    <t>DAIRY0278</t>
  </si>
  <si>
    <t>DAIRY0279</t>
  </si>
  <si>
    <t>DAIRY0280</t>
  </si>
  <si>
    <t>DAIRY0281</t>
  </si>
  <si>
    <t>DAIRY0282</t>
  </si>
  <si>
    <t>DAIRY0283</t>
  </si>
  <si>
    <t>DAIRY0284</t>
  </si>
  <si>
    <t>DAIRY0285</t>
  </si>
  <si>
    <t>DAIRY0286</t>
  </si>
  <si>
    <t>DAIRY0287</t>
  </si>
  <si>
    <t>DAIRY0288</t>
  </si>
  <si>
    <t>DAIRY0289</t>
  </si>
  <si>
    <t>DAIRY0290</t>
  </si>
  <si>
    <t>DAIRY0291</t>
  </si>
  <si>
    <t>DAIRY0292</t>
  </si>
  <si>
    <t>DAIRY0293</t>
  </si>
  <si>
    <t>DAIRY0294</t>
  </si>
  <si>
    <t>DAIRY0295</t>
  </si>
  <si>
    <t>DAIRY0296</t>
  </si>
  <si>
    <t>DAIRY0297</t>
  </si>
  <si>
    <t>DAIRY0298</t>
  </si>
  <si>
    <t>DAIRY0299</t>
  </si>
  <si>
    <t>DAIRY0300</t>
  </si>
  <si>
    <t>DAIRY0301</t>
  </si>
  <si>
    <t>DAIRY0302</t>
  </si>
  <si>
    <t>DAIRY0303</t>
  </si>
  <si>
    <t>DAIRY0304</t>
  </si>
  <si>
    <t>DAIRY0305</t>
  </si>
  <si>
    <t>DAIRY0306</t>
  </si>
  <si>
    <t>DAIRY0307</t>
  </si>
  <si>
    <t>DAIRY0308</t>
  </si>
  <si>
    <t>DAIRY0309</t>
  </si>
  <si>
    <t>DAIRY0310</t>
  </si>
  <si>
    <t>DAIRY0311</t>
  </si>
  <si>
    <t>DAIRY0312</t>
  </si>
  <si>
    <t>DAIRY0313</t>
  </si>
  <si>
    <t>DAIRY0314</t>
  </si>
  <si>
    <t>DAIRY0315</t>
  </si>
  <si>
    <t>DAIRY0316</t>
  </si>
  <si>
    <t>DAIRY0317</t>
  </si>
  <si>
    <t>DAIRY0318</t>
  </si>
  <si>
    <t>DAIRY0319</t>
  </si>
  <si>
    <t>DAIRY0320</t>
  </si>
  <si>
    <t>DAIRY0321</t>
  </si>
  <si>
    <t>DAIRY0322</t>
  </si>
  <si>
    <t>DAIRY0323</t>
  </si>
  <si>
    <t>DAIRY0324</t>
  </si>
  <si>
    <t>DAIRY0325</t>
  </si>
  <si>
    <t>DAIRY0326</t>
  </si>
  <si>
    <t>DAIRY0327</t>
  </si>
  <si>
    <t>DAIRY0328</t>
  </si>
  <si>
    <t>DAIRY0329</t>
  </si>
  <si>
    <t>DAIRY0330</t>
  </si>
  <si>
    <t>DAIRY0331</t>
  </si>
  <si>
    <t>DAIRY0332</t>
  </si>
  <si>
    <t>DAIRY0333</t>
  </si>
  <si>
    <t>DAIRY0334</t>
  </si>
  <si>
    <t>DAIRY0335</t>
  </si>
  <si>
    <t>DAIRY0336</t>
  </si>
  <si>
    <t>DAIRY0337</t>
  </si>
  <si>
    <t>DAIRY0338</t>
  </si>
  <si>
    <t>DAIRY0339</t>
  </si>
  <si>
    <t>DAIRY0340</t>
  </si>
  <si>
    <t>DAIRY0341</t>
  </si>
  <si>
    <t>DAIRY0342</t>
  </si>
  <si>
    <t>DAIRY0343</t>
  </si>
  <si>
    <t>DAIRY0344</t>
  </si>
  <si>
    <t>DAIRY0345</t>
  </si>
  <si>
    <t>DAIRY0346</t>
  </si>
  <si>
    <t>DAIRY0347</t>
  </si>
  <si>
    <t>DAIRY0348</t>
  </si>
  <si>
    <t>DAIRY0349</t>
  </si>
  <si>
    <t>DAIRY0350</t>
  </si>
  <si>
    <t>DAIRY0351</t>
  </si>
  <si>
    <t>DAIRY0352</t>
  </si>
  <si>
    <t>DAIRY0353</t>
  </si>
  <si>
    <t>DAIRY0354</t>
  </si>
  <si>
    <t>DAIRY0355</t>
  </si>
  <si>
    <t>DAIRY0356</t>
  </si>
  <si>
    <t>DAIRY0357</t>
  </si>
  <si>
    <t>DAIRY0358</t>
  </si>
  <si>
    <t>DAIRY0359</t>
  </si>
  <si>
    <t>DAIRY0360</t>
  </si>
  <si>
    <t>DAIRY0361</t>
  </si>
  <si>
    <t>DAIRY0362</t>
  </si>
  <si>
    <t>DAIRY0363</t>
  </si>
  <si>
    <t>DAIRY0364</t>
  </si>
  <si>
    <t>DAIRY0365</t>
  </si>
  <si>
    <t>DAIRY0366</t>
  </si>
  <si>
    <t>DAIRY0367</t>
  </si>
  <si>
    <t>DAIRY0368</t>
  </si>
  <si>
    <t>DAIRY0369</t>
  </si>
  <si>
    <t>DAIRY0370</t>
  </si>
  <si>
    <t>DAIRY0371</t>
  </si>
  <si>
    <t>DAIRY0372</t>
  </si>
  <si>
    <t>DAIRY0373</t>
  </si>
  <si>
    <t>DAIRY0374</t>
  </si>
  <si>
    <t>DAIRY0375</t>
  </si>
  <si>
    <t>DAIRY0376</t>
  </si>
  <si>
    <t>DAIRY0377</t>
  </si>
  <si>
    <t>DAIRY0378</t>
  </si>
  <si>
    <t>DAIRY0379</t>
  </si>
  <si>
    <t>DAIRY0380</t>
  </si>
  <si>
    <t>DAIRY0381</t>
  </si>
  <si>
    <t>DAIRY0382</t>
  </si>
  <si>
    <t>DAIRY0383</t>
  </si>
  <si>
    <t>DAIRY0384</t>
  </si>
  <si>
    <t>DAIRY0385</t>
  </si>
  <si>
    <t>DAIRY0386</t>
  </si>
  <si>
    <t>DAIRY0387</t>
  </si>
  <si>
    <t>DAIRY0388</t>
  </si>
  <si>
    <t>DAIRY0389</t>
  </si>
  <si>
    <t>DAIRY0390</t>
  </si>
  <si>
    <t>DAIRY0391</t>
  </si>
  <si>
    <t>DAIRY0392</t>
  </si>
  <si>
    <t>DAIRY0393</t>
  </si>
  <si>
    <t>DAIRY0394</t>
  </si>
  <si>
    <t>DAIRY0395</t>
  </si>
  <si>
    <t>DAIRY0396</t>
  </si>
  <si>
    <t>DAIRY0397</t>
  </si>
  <si>
    <t>DAIRY0398</t>
  </si>
  <si>
    <t>DAIRY0399</t>
  </si>
  <si>
    <t>DAIRY0400</t>
  </si>
  <si>
    <t>DAIRY0401</t>
  </si>
  <si>
    <t>DAIRY0402</t>
  </si>
  <si>
    <t>DAIRY0403</t>
  </si>
  <si>
    <t>DAIRY0404</t>
  </si>
  <si>
    <t>DAIRY0405</t>
  </si>
  <si>
    <t>DAIRY0406</t>
  </si>
  <si>
    <t>DAIRY0407</t>
  </si>
  <si>
    <t>DAIRY0408</t>
  </si>
  <si>
    <t>DAIRY0409</t>
  </si>
  <si>
    <t>DAIRY0410</t>
  </si>
  <si>
    <t>DAIRY0411</t>
  </si>
  <si>
    <t>DAIRY0412</t>
  </si>
  <si>
    <t>DAIRY0413</t>
  </si>
  <si>
    <t>DAIRY0414</t>
  </si>
  <si>
    <t>DAIRY0415</t>
  </si>
  <si>
    <t>DAIRY0416</t>
  </si>
  <si>
    <t>DAIRY0417</t>
  </si>
  <si>
    <t>DAIRY0418</t>
  </si>
  <si>
    <t>DAIRY0419</t>
  </si>
  <si>
    <t>DAIRY0420</t>
  </si>
  <si>
    <t>DAIRY0421</t>
  </si>
  <si>
    <t>DAIRY0422</t>
  </si>
  <si>
    <t>DAIRY0423</t>
  </si>
  <si>
    <t>DAIRY0424</t>
  </si>
  <si>
    <t>DAIRY0425</t>
  </si>
  <si>
    <t>DAIRY0426</t>
  </si>
  <si>
    <t>DAIRY0427</t>
  </si>
  <si>
    <t>DAIRY0428</t>
  </si>
  <si>
    <t>DAIRY0429</t>
  </si>
  <si>
    <t>DAIRY0430</t>
  </si>
  <si>
    <t>DAIRY0431</t>
  </si>
  <si>
    <t>DAIRY0432</t>
  </si>
  <si>
    <t>DAIRY0433</t>
  </si>
  <si>
    <t>DAIRY0434</t>
  </si>
  <si>
    <t>DAIRY0435</t>
  </si>
  <si>
    <t>DAIRY0436</t>
  </si>
  <si>
    <t>DAIRY0437</t>
  </si>
  <si>
    <t>DAIRY0438</t>
  </si>
  <si>
    <t>DAIRY0439</t>
  </si>
  <si>
    <t>DAIRY0440</t>
  </si>
  <si>
    <t>DAIRY0441</t>
  </si>
  <si>
    <t>DAIRY0442</t>
  </si>
  <si>
    <t>DAIRY0443</t>
  </si>
  <si>
    <t>DAIRY0444</t>
  </si>
  <si>
    <t>DAIRY0445</t>
  </si>
  <si>
    <t>DAIRY0446</t>
  </si>
  <si>
    <t>DAIRY0447</t>
  </si>
  <si>
    <t>DAIRY0448</t>
  </si>
  <si>
    <t>DAIRY0449</t>
  </si>
  <si>
    <t>DAIRY0450</t>
  </si>
  <si>
    <t>DAIRY0451</t>
  </si>
  <si>
    <t>DAIRY0452</t>
  </si>
  <si>
    <t>DAIRY0453</t>
  </si>
  <si>
    <t>DAIRY0454</t>
  </si>
  <si>
    <t>DAIRY0455</t>
  </si>
  <si>
    <t>DAIRY0456</t>
  </si>
  <si>
    <t>DAIRY0457</t>
  </si>
  <si>
    <t>DAIRY0458</t>
  </si>
  <si>
    <t>DAIRY0459</t>
  </si>
  <si>
    <t>DAIRY0460</t>
  </si>
  <si>
    <t>DAIRY0461</t>
  </si>
  <si>
    <t>DAIRY0462</t>
  </si>
  <si>
    <t>DAIRY0463</t>
  </si>
  <si>
    <t>DAIRY0464</t>
  </si>
  <si>
    <t>DAIRY0465</t>
  </si>
  <si>
    <t>DAIRY0466</t>
  </si>
  <si>
    <t>DAIRY0467</t>
  </si>
  <si>
    <t>DAIRY0468</t>
  </si>
  <si>
    <t>DAIRY0469</t>
  </si>
  <si>
    <t>DAIRY0470</t>
  </si>
  <si>
    <t>DAIRY0471</t>
  </si>
  <si>
    <t>DAIRY0472</t>
  </si>
  <si>
    <t>DAIRY0473</t>
  </si>
  <si>
    <t>DAIRY0474</t>
  </si>
  <si>
    <t>DAIRY0475</t>
  </si>
  <si>
    <t>DAIRY0476</t>
  </si>
  <si>
    <t>DAIRY0477</t>
  </si>
  <si>
    <t>DAIRY0478</t>
  </si>
  <si>
    <t>DAIRY0479</t>
  </si>
  <si>
    <t>DAIRY0480</t>
  </si>
  <si>
    <t>DAIRY0481</t>
  </si>
  <si>
    <t>DAIRY0482</t>
  </si>
  <si>
    <t>DAIRY0483</t>
  </si>
  <si>
    <t>DAIRY0484</t>
  </si>
  <si>
    <t>DAIRY0485</t>
  </si>
  <si>
    <t>DAIRY0486</t>
  </si>
  <si>
    <t>DAIRY0487</t>
  </si>
  <si>
    <t>DAIRY0488</t>
  </si>
  <si>
    <t>DAIRY0489</t>
  </si>
  <si>
    <t>DAIRY0490</t>
  </si>
  <si>
    <t>DAIRY0491</t>
  </si>
  <si>
    <t>DAIRY0492</t>
  </si>
  <si>
    <t>DAIRY0493</t>
  </si>
  <si>
    <t>DAIRY0494</t>
  </si>
  <si>
    <t>DAIRY0495</t>
  </si>
  <si>
    <t>DAIRY0496</t>
  </si>
  <si>
    <t>DAIRY0497</t>
  </si>
  <si>
    <t>DAIRY0498</t>
  </si>
  <si>
    <t>DAIRY0499</t>
  </si>
  <si>
    <t>DAIRY0500</t>
  </si>
  <si>
    <t>DAIRY0501</t>
  </si>
  <si>
    <t>DAIRY0502</t>
  </si>
  <si>
    <t>DAIRY0503</t>
  </si>
  <si>
    <t>DAIRY0504</t>
  </si>
  <si>
    <t>DAIRY0505</t>
  </si>
  <si>
    <t>DAIRY0506</t>
  </si>
  <si>
    <t>DAIRY0507</t>
  </si>
  <si>
    <t>DAIRY0508</t>
  </si>
  <si>
    <t>DAIRY0509</t>
  </si>
  <si>
    <t>DAIRY0510</t>
  </si>
  <si>
    <t>DAIRY0511</t>
  </si>
  <si>
    <t>DAIRY0512</t>
  </si>
  <si>
    <t>DAIRY0513</t>
  </si>
  <si>
    <t>DAIRY0514</t>
  </si>
  <si>
    <t>DAIRY0515</t>
  </si>
  <si>
    <t>DAIRY0516</t>
  </si>
  <si>
    <t>DAIRY0517</t>
  </si>
  <si>
    <t>DAIRY0518</t>
  </si>
  <si>
    <t>DAIRY0519</t>
  </si>
  <si>
    <t>DAIRY0520</t>
  </si>
  <si>
    <t>DAIRY0521</t>
  </si>
  <si>
    <t>DAIRY0522</t>
  </si>
  <si>
    <t>DAIRY0523</t>
  </si>
  <si>
    <t>DAIRY0524</t>
  </si>
  <si>
    <t>DAIRY0525</t>
  </si>
  <si>
    <t>DAIRY0526</t>
  </si>
  <si>
    <t>DAIRY0527</t>
  </si>
  <si>
    <t>DAIRY0528</t>
  </si>
  <si>
    <t>DAIRY0529</t>
  </si>
  <si>
    <t>DAIRY0530</t>
  </si>
  <si>
    <t>DAIRY0531</t>
  </si>
  <si>
    <t>DAIRY0532</t>
  </si>
  <si>
    <t>DAIRY0533</t>
  </si>
  <si>
    <t>DAIRY0534</t>
  </si>
  <si>
    <t>DAIRY0535</t>
  </si>
  <si>
    <t>DAIRY0536</t>
  </si>
  <si>
    <t>DAIRY0537</t>
  </si>
  <si>
    <t>DAIRY0538</t>
  </si>
  <si>
    <t>DAIRY0539</t>
  </si>
  <si>
    <t>DAIRY0540</t>
  </si>
  <si>
    <t>DAIRY0541</t>
  </si>
  <si>
    <t>DAIRY0542</t>
  </si>
  <si>
    <t>DAIRY0543</t>
  </si>
  <si>
    <t>DAIRY0544</t>
  </si>
  <si>
    <t>DAIRY0545</t>
  </si>
  <si>
    <t>DAIRY0546</t>
  </si>
  <si>
    <t>DAIRY0547</t>
  </si>
  <si>
    <t>DAIRY0548</t>
  </si>
  <si>
    <t>DAIRY0549</t>
  </si>
  <si>
    <t>DAIRY0550</t>
  </si>
  <si>
    <t>DAIRY0551</t>
  </si>
  <si>
    <t>DAIRY0552</t>
  </si>
  <si>
    <t>DAIRY0553</t>
  </si>
  <si>
    <t>DAIRY0554</t>
  </si>
  <si>
    <t>DAIRY0555</t>
  </si>
  <si>
    <t>DAIRY0556</t>
  </si>
  <si>
    <t>DAIRY0557</t>
  </si>
  <si>
    <t>DAIRY0558</t>
  </si>
  <si>
    <t>DAIRY0559</t>
  </si>
  <si>
    <t>DAIRY0560</t>
  </si>
  <si>
    <t>DAIRY0561</t>
  </si>
  <si>
    <t>DAIRY0562</t>
  </si>
  <si>
    <t>DAIRY0563</t>
  </si>
  <si>
    <t>DAIRY0564</t>
  </si>
  <si>
    <t>DAIRY0565</t>
  </si>
  <si>
    <t>DAIRY0566</t>
  </si>
  <si>
    <t>DAIRY0567</t>
  </si>
  <si>
    <t>DAIRY0568</t>
  </si>
  <si>
    <t>DAIRY0569</t>
  </si>
  <si>
    <t>DAIRY0570</t>
  </si>
  <si>
    <t>DAIRY0571</t>
  </si>
  <si>
    <t>DAIRY0572</t>
  </si>
  <si>
    <t>DAIRY0573</t>
  </si>
  <si>
    <t>DAIRY0574</t>
  </si>
  <si>
    <t>DAIRY0575</t>
  </si>
  <si>
    <t>DAIRY0576</t>
  </si>
  <si>
    <t>DAIRY0577</t>
  </si>
  <si>
    <t>DAIRY0578</t>
  </si>
  <si>
    <t>DAIRY0579</t>
  </si>
  <si>
    <t>DAIRY0580</t>
  </si>
  <si>
    <t>DAIRY0581</t>
  </si>
  <si>
    <t>DAIRY0582</t>
  </si>
  <si>
    <t>DAIRY0583</t>
  </si>
  <si>
    <t>DAIRY0584</t>
  </si>
  <si>
    <t>DAIRY0585</t>
  </si>
  <si>
    <t>DAIRY0586</t>
  </si>
  <si>
    <t>DAIRY0587</t>
  </si>
  <si>
    <t>DAIRY0588</t>
  </si>
  <si>
    <t>DAIRY0589</t>
  </si>
  <si>
    <t>DAIRY0590</t>
  </si>
  <si>
    <t>DAIRY0591</t>
  </si>
  <si>
    <t>DAIRY0592</t>
  </si>
  <si>
    <t>DAIRY0593</t>
  </si>
  <si>
    <t>DAIRY0594</t>
  </si>
  <si>
    <t>DAIRY0595</t>
  </si>
  <si>
    <t>DAIRY0596</t>
  </si>
  <si>
    <t>DAIRY0597</t>
  </si>
  <si>
    <t>DAIRY0598</t>
  </si>
  <si>
    <t>DAIRY0599</t>
  </si>
  <si>
    <t>DAIRY0600</t>
  </si>
  <si>
    <t>DAIRY0601</t>
  </si>
  <si>
    <t>DAIRY0602</t>
  </si>
  <si>
    <t>DAIRY0603</t>
  </si>
  <si>
    <t>DAIRY0604</t>
  </si>
  <si>
    <t>DAIRY0605</t>
  </si>
  <si>
    <t>DAIRY0606</t>
  </si>
  <si>
    <t>DAIRY0607</t>
  </si>
  <si>
    <t>DAIRY0608</t>
  </si>
  <si>
    <t>DAIRY0609</t>
  </si>
  <si>
    <t>DAIRY0610</t>
  </si>
  <si>
    <t>DAIRY0611</t>
  </si>
  <si>
    <t>DAIRY0612</t>
  </si>
  <si>
    <t>DAIRY0613</t>
  </si>
  <si>
    <t>DAIRY0614</t>
  </si>
  <si>
    <t>DAIRY0615</t>
  </si>
  <si>
    <t>DAIRY0616</t>
  </si>
  <si>
    <t>DAIRY0617</t>
  </si>
  <si>
    <t>DAIRY0618</t>
  </si>
  <si>
    <t>DAIRY0619</t>
  </si>
  <si>
    <t>DAIRY0620</t>
  </si>
  <si>
    <t>DAIRY0621</t>
  </si>
  <si>
    <t>DAIRY0622</t>
  </si>
  <si>
    <t>DAIRY0623</t>
  </si>
  <si>
    <t>DAIRY0624</t>
  </si>
  <si>
    <t>DAIRY0625</t>
  </si>
  <si>
    <t>DAIRY0626</t>
  </si>
  <si>
    <t>DAIRY0627</t>
  </si>
  <si>
    <t>DAIRY0628</t>
  </si>
  <si>
    <t>DAIRY0629</t>
  </si>
  <si>
    <t>DAIRY0630</t>
  </si>
  <si>
    <t>DAIRY0631</t>
  </si>
  <si>
    <t>DAIRY0632</t>
  </si>
  <si>
    <t>DAIRY0633</t>
  </si>
  <si>
    <t>DAIRY0634</t>
  </si>
  <si>
    <t>DAIRY0635</t>
  </si>
  <si>
    <t>DAIRY0636</t>
  </si>
  <si>
    <t>DAIRY0637</t>
  </si>
  <si>
    <t>DAIRY0638</t>
  </si>
  <si>
    <t>DAIRY0639</t>
  </si>
  <si>
    <t>DAIRY0640</t>
  </si>
  <si>
    <t>DAIRY0641</t>
  </si>
  <si>
    <t>DAIRY0642</t>
  </si>
  <si>
    <t>DAIRY0643</t>
  </si>
  <si>
    <t>DAIRY0644</t>
  </si>
  <si>
    <t>DAIRY0645</t>
  </si>
  <si>
    <t>DAIRY0646</t>
  </si>
  <si>
    <t>DAIRY0647</t>
  </si>
  <si>
    <t>DAIRY0648</t>
  </si>
  <si>
    <t>DAIRY0649</t>
  </si>
  <si>
    <t>DAIRY0650</t>
  </si>
  <si>
    <t>DAIRY0651</t>
  </si>
  <si>
    <t>DAIRY0652</t>
  </si>
  <si>
    <t>DAIRY0653</t>
  </si>
  <si>
    <t>DAIRY0654</t>
  </si>
  <si>
    <t>DAIRY0655</t>
  </si>
  <si>
    <t>DAIRY0656</t>
  </si>
  <si>
    <t>DAIRY0657</t>
  </si>
  <si>
    <t>DAIRY0658</t>
  </si>
  <si>
    <t>DAIRY0659</t>
  </si>
  <si>
    <t>DAIRY0660</t>
  </si>
  <si>
    <t>DAIRY0661</t>
  </si>
  <si>
    <t>DAIRY0662</t>
  </si>
  <si>
    <t>DAIRY0663</t>
  </si>
  <si>
    <t>DAIRY0664</t>
  </si>
  <si>
    <t>DAIRY0665</t>
  </si>
  <si>
    <t>DAIRY0666</t>
  </si>
  <si>
    <t>DAIRY0667</t>
  </si>
  <si>
    <t>DAIRY0668</t>
  </si>
  <si>
    <t>DAIRY0669</t>
  </si>
  <si>
    <t>DAIRY0670</t>
  </si>
  <si>
    <t>DAIRY0671</t>
  </si>
  <si>
    <t>DAIRY0672</t>
  </si>
  <si>
    <t>DAIRY0673</t>
  </si>
  <si>
    <t>DAIRY0674</t>
  </si>
  <si>
    <t>DAIRY0675</t>
  </si>
  <si>
    <t>DAIRY0676</t>
  </si>
  <si>
    <t>DAIRY0677</t>
  </si>
  <si>
    <t>DAIRY0678</t>
  </si>
  <si>
    <t>DAIRY0679</t>
  </si>
  <si>
    <t>DAIRY0680</t>
  </si>
  <si>
    <t>DAIRY0681</t>
  </si>
  <si>
    <t>DAIRY0682</t>
  </si>
  <si>
    <t>DAIRY0683</t>
  </si>
  <si>
    <t>DAIRY0684</t>
  </si>
  <si>
    <t>DAIRY0685</t>
  </si>
  <si>
    <t>DAIRY0686</t>
  </si>
  <si>
    <t>DAIRY0687</t>
  </si>
  <si>
    <t>DAIRY0688</t>
  </si>
  <si>
    <t>DAIRY0689</t>
  </si>
  <si>
    <t>DAIRY0690</t>
  </si>
  <si>
    <t>DAIRY0691</t>
  </si>
  <si>
    <t>DAIRY0692</t>
  </si>
  <si>
    <t>DAIRY0693</t>
  </si>
  <si>
    <t>DAIRY0694</t>
  </si>
  <si>
    <t>DAIRY0695</t>
  </si>
  <si>
    <t>DAIRY0696</t>
  </si>
  <si>
    <t>DAIRY0697</t>
  </si>
  <si>
    <t>DAIRY0698</t>
  </si>
  <si>
    <t>DAIRY0699</t>
  </si>
  <si>
    <t>DAIRY0700</t>
  </si>
  <si>
    <t>DAIRY0701</t>
  </si>
  <si>
    <t>DAIRY0702</t>
  </si>
  <si>
    <t>DAIRY0703</t>
  </si>
  <si>
    <t>DAIRY0704</t>
  </si>
  <si>
    <t>DAIRY0705</t>
  </si>
  <si>
    <t>DAIRY0706</t>
  </si>
  <si>
    <t>DAIRY0707</t>
  </si>
  <si>
    <t>DAIRY0708</t>
  </si>
  <si>
    <t>DAIRY0709</t>
  </si>
  <si>
    <t>DAIRY0710</t>
  </si>
  <si>
    <t>DAIRY0711</t>
  </si>
  <si>
    <t>DAIRY0712</t>
  </si>
  <si>
    <t>DAIRY0713</t>
  </si>
  <si>
    <t>DAIRY0714</t>
  </si>
  <si>
    <t>DAIRY0715</t>
  </si>
  <si>
    <t>DAIRY0716</t>
  </si>
  <si>
    <t>DAIRY0717</t>
  </si>
  <si>
    <t>DAIRY0718</t>
  </si>
  <si>
    <t>DAIRY0719</t>
  </si>
  <si>
    <t>DAIRY0720</t>
  </si>
  <si>
    <t>DAIRY0721</t>
  </si>
  <si>
    <t>DAIRY0722</t>
  </si>
  <si>
    <t>DAIRY0723</t>
  </si>
  <si>
    <t>DAIRY0724</t>
  </si>
  <si>
    <t>DAIRY0725</t>
  </si>
  <si>
    <t>DAIRY0726</t>
  </si>
  <si>
    <t>DAIRY0727</t>
  </si>
  <si>
    <t>DAIRY0728</t>
  </si>
  <si>
    <t>DAIRY0729</t>
  </si>
  <si>
    <t>DAIRY0730</t>
  </si>
  <si>
    <t>DAIRY0731</t>
  </si>
  <si>
    <t>DAIRY0732</t>
  </si>
  <si>
    <t>DAIRY0733</t>
  </si>
  <si>
    <t>DAIRY0734</t>
  </si>
  <si>
    <t>DAIRY0735</t>
  </si>
  <si>
    <t>DAIRY0736</t>
  </si>
  <si>
    <t>DAIRY0737</t>
  </si>
  <si>
    <t>DAIRY0738</t>
  </si>
  <si>
    <t>DAIRY0739</t>
  </si>
  <si>
    <t>DAIRY0740</t>
  </si>
  <si>
    <t>DAIRY0741</t>
  </si>
  <si>
    <t>DAIRY0742</t>
  </si>
  <si>
    <t>DAIRY0743</t>
  </si>
  <si>
    <t>DAIRY0744</t>
  </si>
  <si>
    <t>DAIRY0745</t>
  </si>
  <si>
    <t>DAIRY0746</t>
  </si>
  <si>
    <t>DAIRY0747</t>
  </si>
  <si>
    <t>DAIRY0748</t>
  </si>
  <si>
    <t>DAIRY0749</t>
  </si>
  <si>
    <t>DAIRY0750</t>
  </si>
  <si>
    <t>DAIRY0751</t>
  </si>
  <si>
    <t>DAIRY0752</t>
  </si>
  <si>
    <t>DAIRY0753</t>
  </si>
  <si>
    <t>DAIRY0754</t>
  </si>
  <si>
    <t>DAIRY0755</t>
  </si>
  <si>
    <t>DAIRY0756</t>
  </si>
  <si>
    <t>DAIRY0757</t>
  </si>
  <si>
    <t>DAIRY0758</t>
  </si>
  <si>
    <t>DAIRY0759</t>
  </si>
  <si>
    <t>DAIRY0760</t>
  </si>
  <si>
    <t>DAIRY0761</t>
  </si>
  <si>
    <t>DAIRY0762</t>
  </si>
  <si>
    <t>DAIRY0763</t>
  </si>
  <si>
    <t>DAIRY0764</t>
  </si>
  <si>
    <t>DAIRY0765</t>
  </si>
  <si>
    <t>DAIRY0766</t>
  </si>
  <si>
    <t>DAIRY0767</t>
  </si>
  <si>
    <t>DAIRY0768</t>
  </si>
  <si>
    <t>DAIRY0769</t>
  </si>
  <si>
    <t>DAIRY0770</t>
  </si>
  <si>
    <t>DAIRY0771</t>
  </si>
  <si>
    <t>DAIRY0772</t>
  </si>
  <si>
    <t>DAIRY0773</t>
  </si>
  <si>
    <t>DAIRY0774</t>
  </si>
  <si>
    <t>DAIRY0775</t>
  </si>
  <si>
    <t>DAIRY0776</t>
  </si>
  <si>
    <t>DAIRY0777</t>
  </si>
  <si>
    <t>DAIRY0778</t>
  </si>
  <si>
    <t>DAIRY0779</t>
  </si>
  <si>
    <t>DAIRY0780</t>
  </si>
  <si>
    <t>DAIRY0781</t>
  </si>
  <si>
    <t>DAIRY0782</t>
  </si>
  <si>
    <t>DAIRY0783</t>
  </si>
  <si>
    <t>DAIRY0784</t>
  </si>
  <si>
    <t>DAIRY0785</t>
  </si>
  <si>
    <t>DAIRY0786</t>
  </si>
  <si>
    <t>DAIRY0787</t>
  </si>
  <si>
    <t>DAIRY0788</t>
  </si>
  <si>
    <t>DAIRY0789</t>
  </si>
  <si>
    <t>DAIRY0790</t>
  </si>
  <si>
    <t>DAIRY0791</t>
  </si>
  <si>
    <t>DAIRY0792</t>
  </si>
  <si>
    <t>DAIRY0793</t>
  </si>
  <si>
    <t>DAIRY0794</t>
  </si>
  <si>
    <t>DAIRY0795</t>
  </si>
  <si>
    <t>DAIRY0796</t>
  </si>
  <si>
    <t>DAIRY0797</t>
  </si>
  <si>
    <t>DAIRY0798</t>
  </si>
  <si>
    <t>DAIRY0799</t>
  </si>
  <si>
    <t>DAIRY0800</t>
  </si>
  <si>
    <t>DAIRY0801</t>
  </si>
  <si>
    <t>DAIRY0802</t>
  </si>
  <si>
    <t>DAIRY0803</t>
  </si>
  <si>
    <t>DAIRY0804</t>
  </si>
  <si>
    <t>DAIRY0805</t>
  </si>
  <si>
    <t>DAIRY0806</t>
  </si>
  <si>
    <t>DAIRY0807</t>
  </si>
  <si>
    <t>DAIRY0808</t>
  </si>
  <si>
    <t>DAIRY0809</t>
  </si>
  <si>
    <t>DAIRY0810</t>
  </si>
  <si>
    <t>DAIRY0811</t>
  </si>
  <si>
    <t>DAIRY0812</t>
  </si>
  <si>
    <t>DAIRY0813</t>
  </si>
  <si>
    <t>DAIRY0814</t>
  </si>
  <si>
    <t>DAIRY0815</t>
  </si>
  <si>
    <t>DAIRY0816</t>
  </si>
  <si>
    <t>DAIRY0817</t>
  </si>
  <si>
    <t>DAIRY0818</t>
  </si>
  <si>
    <t>DAIRY0819</t>
  </si>
  <si>
    <t>DAIRY0820</t>
  </si>
  <si>
    <t>DAIRY0821</t>
  </si>
  <si>
    <t>DAIRY0822</t>
  </si>
  <si>
    <t>DAIRY0823</t>
  </si>
  <si>
    <t>DAIRY0824</t>
  </si>
  <si>
    <t>DAIRY0825</t>
  </si>
  <si>
    <t>DAIRY0826</t>
  </si>
  <si>
    <t>DAIRY0827</t>
  </si>
  <si>
    <t>DAIRY0828</t>
  </si>
  <si>
    <t>DAIRY0829</t>
  </si>
  <si>
    <t>DAIRY0830</t>
  </si>
  <si>
    <t>DAIRY0831</t>
  </si>
  <si>
    <t>DAIRY0832</t>
  </si>
  <si>
    <t>DAIRY0833</t>
  </si>
  <si>
    <t>DAIRY0834</t>
  </si>
  <si>
    <t>DAIRY0835</t>
  </si>
  <si>
    <t>DAIRY0836</t>
  </si>
  <si>
    <t>DAIRY0837</t>
  </si>
  <si>
    <t>DAIRY0838</t>
  </si>
  <si>
    <t>DAIRY0839</t>
  </si>
  <si>
    <t>DAIRY0840</t>
  </si>
  <si>
    <t>DAIRY0841</t>
  </si>
  <si>
    <t>DAIRY0842</t>
  </si>
  <si>
    <t>DAIRY0843</t>
  </si>
  <si>
    <t>DAIRY0844</t>
  </si>
  <si>
    <t>DAIRY0845</t>
  </si>
  <si>
    <t>DAIRY0846</t>
  </si>
  <si>
    <t>DAIRY0847</t>
  </si>
  <si>
    <t>DAIRY0848</t>
  </si>
  <si>
    <t>DAIRY0849</t>
  </si>
  <si>
    <t>DAIRY0850</t>
  </si>
  <si>
    <t>DAIRY0851</t>
  </si>
  <si>
    <t>DAIRY0852</t>
  </si>
  <si>
    <t>DAIRY0853</t>
  </si>
  <si>
    <t>DAIRY0854</t>
  </si>
  <si>
    <t>DAIRY0855</t>
  </si>
  <si>
    <t>DAIRY0856</t>
  </si>
  <si>
    <t>DAIRY0857</t>
  </si>
  <si>
    <t>DAIRY0858</t>
  </si>
  <si>
    <t>DAIRY0859</t>
  </si>
  <si>
    <t>DAIRY0860</t>
  </si>
  <si>
    <t>DAIRY0861</t>
  </si>
  <si>
    <t>DAIRY0862</t>
  </si>
  <si>
    <t>DAIRY0863</t>
  </si>
  <si>
    <t>DAIRY0864</t>
  </si>
  <si>
    <t>DAIRY0865</t>
  </si>
  <si>
    <t>DAIRY0866</t>
  </si>
  <si>
    <t>DAIRY0867</t>
  </si>
  <si>
    <t>DAIRY0868</t>
  </si>
  <si>
    <t>DAIRY0869</t>
  </si>
  <si>
    <t>DAIRY0870</t>
  </si>
  <si>
    <t>DAIRY0871</t>
  </si>
  <si>
    <t>DAIRY0872</t>
  </si>
  <si>
    <t>DAIRY0873</t>
  </si>
  <si>
    <t>DAIRY0874</t>
  </si>
  <si>
    <t>DAIRY0875</t>
  </si>
  <si>
    <t>DAIRY0876</t>
  </si>
  <si>
    <t>DAIRY0877</t>
  </si>
  <si>
    <t>DAIRY0878</t>
  </si>
  <si>
    <t>DAIRY0879</t>
  </si>
  <si>
    <t>DAIRY0880</t>
  </si>
  <si>
    <t>DAIRY0881</t>
  </si>
  <si>
    <t>DAIRY0882</t>
  </si>
  <si>
    <t>DAIRY0883</t>
  </si>
  <si>
    <t>DAIRY0884</t>
  </si>
  <si>
    <t>DAIRY0885</t>
  </si>
  <si>
    <t>DAIRY0886</t>
  </si>
  <si>
    <t>DAIRY0887</t>
  </si>
  <si>
    <t>DAIRY0888</t>
  </si>
  <si>
    <t>DAIRY0889</t>
  </si>
  <si>
    <t>DAIRY0890</t>
  </si>
  <si>
    <t>DAIRY0891</t>
  </si>
  <si>
    <t>DAIRY0892</t>
  </si>
  <si>
    <t>DAIRY0893</t>
  </si>
  <si>
    <t>DAIRY0894</t>
  </si>
  <si>
    <t>DAIRY0895</t>
  </si>
  <si>
    <t>DAIRY0896</t>
  </si>
  <si>
    <t>DAIRY0897</t>
  </si>
  <si>
    <t>DAIRY0898</t>
  </si>
  <si>
    <t>DAIRY0899</t>
  </si>
  <si>
    <t>DAIRY0900</t>
  </si>
  <si>
    <t>DAIRY0901</t>
  </si>
  <si>
    <t>DAIRY0902</t>
  </si>
  <si>
    <t>DAIRY0903</t>
  </si>
  <si>
    <t>DAIRY0904</t>
  </si>
  <si>
    <t>DAIRY0905</t>
  </si>
  <si>
    <t>DAIRY0906</t>
  </si>
  <si>
    <t>DAIRY0907</t>
  </si>
  <si>
    <t>DAIRY0908</t>
  </si>
  <si>
    <t>DAIRY0909</t>
  </si>
  <si>
    <t>DAIRY0910</t>
  </si>
  <si>
    <t>DAIRY0911</t>
  </si>
  <si>
    <t>DAIRY0912</t>
  </si>
  <si>
    <t>DAIRY0913</t>
  </si>
  <si>
    <t>DAIRY0914</t>
  </si>
  <si>
    <t>DAIRY0915</t>
  </si>
  <si>
    <t>DAIRY0916</t>
  </si>
  <si>
    <t>DAIRY0917</t>
  </si>
  <si>
    <t>DAIRY0918</t>
  </si>
  <si>
    <t>DAIRY0919</t>
  </si>
  <si>
    <t>DAIRY0920</t>
  </si>
  <si>
    <t>DAIRY0921</t>
  </si>
  <si>
    <t>DAIRY0922</t>
  </si>
  <si>
    <t>DAIRY0923</t>
  </si>
  <si>
    <t>DAIRY0924</t>
  </si>
  <si>
    <t>DAIRY0925</t>
  </si>
  <si>
    <t>DAIRY0926</t>
  </si>
  <si>
    <t>DAIRY0927</t>
  </si>
  <si>
    <t>DAIRY0928</t>
  </si>
  <si>
    <t>DAIRY0929</t>
  </si>
  <si>
    <t>DAIRY0930</t>
  </si>
  <si>
    <t>DAIRY0931</t>
  </si>
  <si>
    <t>DAIRY0932</t>
  </si>
  <si>
    <t>DAIRY0933</t>
  </si>
  <si>
    <t>DAIRY0934</t>
  </si>
  <si>
    <t>DAIRY0935</t>
  </si>
  <si>
    <t>DAIRY0936</t>
  </si>
  <si>
    <t>DAIRY0937</t>
  </si>
  <si>
    <t>DAIRY0938</t>
  </si>
  <si>
    <t>DAIRY0939</t>
  </si>
  <si>
    <t>DAIRY0940</t>
  </si>
  <si>
    <t>DAIRY0941</t>
  </si>
  <si>
    <t>DAIRY0942</t>
  </si>
  <si>
    <t>DAIRY0943</t>
  </si>
  <si>
    <t>DAIRY0944</t>
  </si>
  <si>
    <t>DAIRY0945</t>
  </si>
  <si>
    <t>DAIRY0946</t>
  </si>
  <si>
    <t>DAIRY0947</t>
  </si>
  <si>
    <t>DAIRY0948</t>
  </si>
  <si>
    <t>DAIRY0949</t>
  </si>
  <si>
    <t>DAIRY0950</t>
  </si>
  <si>
    <t>DAIRY0951</t>
  </si>
  <si>
    <t>DAIRY0952</t>
  </si>
  <si>
    <t>DAIRY0953</t>
  </si>
  <si>
    <t>DAIRY0954</t>
  </si>
  <si>
    <t>DAIRY0955</t>
  </si>
  <si>
    <t>DAIRY0956</t>
  </si>
  <si>
    <t>DAIRY0957</t>
  </si>
  <si>
    <t>DAIRY0958</t>
  </si>
  <si>
    <t>DAIRY0959</t>
  </si>
  <si>
    <t>DAIRY0960</t>
  </si>
  <si>
    <t>DAIRY0961</t>
  </si>
  <si>
    <t>DAIRY0962</t>
  </si>
  <si>
    <t>DAIRY0963</t>
  </si>
  <si>
    <t>DAIRY0964</t>
  </si>
  <si>
    <t>DAIRY0965</t>
  </si>
  <si>
    <t>DAIRY0966</t>
  </si>
  <si>
    <t>DAIRY0967</t>
  </si>
  <si>
    <t>DAIRY0968</t>
  </si>
  <si>
    <t>DAIRY0969</t>
  </si>
  <si>
    <t>DAIRY0970</t>
  </si>
  <si>
    <t>DAIRY0971</t>
  </si>
  <si>
    <t>DAIRY0972</t>
  </si>
  <si>
    <t>DAIRY0973</t>
  </si>
  <si>
    <t>DAIRY0974</t>
  </si>
  <si>
    <t>DAIRY0975</t>
  </si>
  <si>
    <t>DAIRY0976</t>
  </si>
  <si>
    <t>DAIRY0977</t>
  </si>
  <si>
    <t>DAIRY0978</t>
  </si>
  <si>
    <t>DAIRY0979</t>
  </si>
  <si>
    <t>DAIRY0980</t>
  </si>
  <si>
    <t>DAIRY0981</t>
  </si>
  <si>
    <t>DAIRY0982</t>
  </si>
  <si>
    <t>DAIRY0983</t>
  </si>
  <si>
    <t>DAIRY0984</t>
  </si>
  <si>
    <t>DAIRY0985</t>
  </si>
  <si>
    <t>DAIRY0986</t>
  </si>
  <si>
    <t>DAIRY0987</t>
  </si>
  <si>
    <t>DAIRY0988</t>
  </si>
  <si>
    <t>DAIRY0989</t>
  </si>
  <si>
    <t>DAIRY0990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</si>
</sst>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\ "/>
  </numFmts>
  <fonts count="6" x14ac:knownFonts="1">
    <font>
      <sz val="11"/>
      <name val="Arial"/>
      <family val="1"/>
    </font>
    <font>
      <b/>
      <sz val="12"/>
      <color rgb="FFFFFFFF"/>
      <name val="Arial"/>
      <family val="1"/>
    </font>
    <font>
      <b/>
      <sz val="10"/>
      <color rgb="FF000000"/>
      <name val="Arial"/>
      <family val="1"/>
    </font>
    <font>
      <sz val="11"/>
      <name val="Arial"/>
      <family val="1"/>
    </font>
    <font>
      <sz val="11"/>
      <color rgb="FFFF0000"/>
      <name val="Arial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58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7">
    <xf numFmtId="0" fontId="0" fillId="0" borderId="0" xfId="0"/>
    <xf numFmtId="166" fontId="0" fillId="0" borderId="0" xfId="1" applyNumberFormat="1" applyFont="1"/>
    <xf numFmtId="0" fontId="1" fillId="2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5" fillId="0" borderId="0" xfId="2"/>
  </cellXfs>
  <cellStyles count="3">
    <cellStyle name="Normal" xfId="1" xr:uid="{00000000-0005-0000-0000-000000000000}"/>
    <cellStyle name="عادي" xfId="0" builtinId="0"/>
    <cellStyle name="عادي 2" xfId="2" xr:uid="{8F0DE1DB-7C4C-4B35-84E7-4987DEB7D2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showOutlineSymbols="0" showWhiteSpace="0" workbookViewId="0"/>
  </sheetViews>
  <sheetFormatPr defaultRowHeight="14" x14ac:dyDescent="0.3"/>
  <cols>
    <col min="1" max="1" width="71.5" bestFit="1" customWidth="1"/>
    <col min="2" max="2" width="34.08203125" bestFit="1" customWidth="1"/>
  </cols>
  <sheetData>
    <row r="1" spans="1:2" x14ac:dyDescent="0.3">
      <c r="A1" s="1" t="s">
        <v>0</v>
      </c>
      <c r="B1" t="s">
        <v>0</v>
      </c>
    </row>
    <row r="2" spans="1:2" x14ac:dyDescent="0.3">
      <c r="A2" s="1" t="s">
        <v>1</v>
      </c>
      <c r="B2" t="s">
        <v>1</v>
      </c>
    </row>
    <row r="3" spans="1:2" x14ac:dyDescent="0.3">
      <c r="A3" s="1" t="s">
        <v>2</v>
      </c>
      <c r="B3" t="s">
        <v>2</v>
      </c>
    </row>
    <row r="4" spans="1:2" x14ac:dyDescent="0.3">
      <c r="A4" s="1" t="s">
        <v>3</v>
      </c>
      <c r="B4" t="s">
        <v>3</v>
      </c>
    </row>
    <row r="5" spans="1:2" x14ac:dyDescent="0.3">
      <c r="A5" s="1" t="s">
        <v>4</v>
      </c>
      <c r="B5" t="s">
        <v>4</v>
      </c>
    </row>
    <row r="6" spans="1:2" x14ac:dyDescent="0.3">
      <c r="A6" s="1" t="s">
        <v>5</v>
      </c>
      <c r="B6" t="s">
        <v>5</v>
      </c>
    </row>
    <row r="7" spans="1:2" x14ac:dyDescent="0.3">
      <c r="A7" s="1" t="s">
        <v>6</v>
      </c>
      <c r="B7" t="s">
        <v>6</v>
      </c>
    </row>
    <row r="8" spans="1:2" x14ac:dyDescent="0.3">
      <c r="A8" s="1" t="s">
        <v>7</v>
      </c>
      <c r="B8" t="s">
        <v>7</v>
      </c>
    </row>
    <row r="9" spans="1:2" x14ac:dyDescent="0.3">
      <c r="A9" s="1" t="s">
        <v>8</v>
      </c>
      <c r="B9" t="s">
        <v>8</v>
      </c>
    </row>
    <row r="10" spans="1:2" x14ac:dyDescent="0.3">
      <c r="A10" s="1" t="s">
        <v>9</v>
      </c>
      <c r="B10" t="s">
        <v>9</v>
      </c>
    </row>
    <row r="11" spans="1:2" x14ac:dyDescent="0.3">
      <c r="A11" s="1" t="s">
        <v>10</v>
      </c>
      <c r="B11" t="s">
        <v>10</v>
      </c>
    </row>
    <row r="12" spans="1:2" x14ac:dyDescent="0.3">
      <c r="A12" s="1" t="s">
        <v>11</v>
      </c>
      <c r="B12" t="s">
        <v>11</v>
      </c>
    </row>
    <row r="13" spans="1:2" x14ac:dyDescent="0.3">
      <c r="A13" s="1" t="s">
        <v>12</v>
      </c>
      <c r="B13" t="s">
        <v>12</v>
      </c>
    </row>
    <row r="14" spans="1:2" x14ac:dyDescent="0.3">
      <c r="A14" s="1" t="s">
        <v>13</v>
      </c>
      <c r="B14" t="s">
        <v>13</v>
      </c>
    </row>
    <row r="15" spans="1:2" x14ac:dyDescent="0.3">
      <c r="A15" s="1" t="s">
        <v>14</v>
      </c>
      <c r="B15" t="s">
        <v>14</v>
      </c>
    </row>
    <row r="16" spans="1:2" x14ac:dyDescent="0.3">
      <c r="A16" s="1" t="s">
        <v>15</v>
      </c>
      <c r="B16" t="s">
        <v>15</v>
      </c>
    </row>
    <row r="17" spans="1:2" x14ac:dyDescent="0.3">
      <c r="A17" s="1" t="s">
        <v>16</v>
      </c>
      <c r="B17" t="s">
        <v>16</v>
      </c>
    </row>
    <row r="18" spans="1:2" x14ac:dyDescent="0.3">
      <c r="A18" s="1" t="s">
        <v>17</v>
      </c>
      <c r="B18" t="s">
        <v>17</v>
      </c>
    </row>
    <row r="19" spans="1:2" x14ac:dyDescent="0.3">
      <c r="A19" s="1" t="s">
        <v>18</v>
      </c>
      <c r="B19" t="s">
        <v>18</v>
      </c>
    </row>
    <row r="20" spans="1:2" x14ac:dyDescent="0.3">
      <c r="A20" s="1" t="s">
        <v>19</v>
      </c>
      <c r="B20" t="s">
        <v>19</v>
      </c>
    </row>
    <row r="21" spans="1:2" x14ac:dyDescent="0.3">
      <c r="A21" t="s">
        <v>20</v>
      </c>
      <c r="B21">
        <v>12</v>
      </c>
    </row>
    <row r="22" spans="1:2" x14ac:dyDescent="0.3">
      <c r="A22" t="s">
        <v>21</v>
      </c>
      <c r="B22">
        <v>58</v>
      </c>
    </row>
    <row r="23" spans="1:2" x14ac:dyDescent="0.3">
      <c r="A23" t="s">
        <v>22</v>
      </c>
      <c r="B23">
        <v>59</v>
      </c>
    </row>
    <row r="24" spans="1:2" x14ac:dyDescent="0.3">
      <c r="A24" t="s">
        <v>23</v>
      </c>
      <c r="B24">
        <v>84</v>
      </c>
    </row>
    <row r="25" spans="1:2" x14ac:dyDescent="0.3">
      <c r="A25" t="s">
        <v>24</v>
      </c>
      <c r="B25">
        <v>62</v>
      </c>
    </row>
    <row r="26" spans="1:2" x14ac:dyDescent="0.3">
      <c r="A26" t="s">
        <v>25</v>
      </c>
      <c r="B26">
        <v>63</v>
      </c>
    </row>
    <row r="27" spans="1:2" x14ac:dyDescent="0.3">
      <c r="A27" t="s">
        <v>26</v>
      </c>
      <c r="B27">
        <v>11</v>
      </c>
    </row>
    <row r="28" spans="1:2" x14ac:dyDescent="0.3">
      <c r="A28" t="s">
        <v>27</v>
      </c>
      <c r="B28">
        <v>66</v>
      </c>
    </row>
    <row r="29" spans="1:2" x14ac:dyDescent="0.3">
      <c r="A29" t="s">
        <v>28</v>
      </c>
      <c r="B29">
        <v>67</v>
      </c>
    </row>
    <row r="30" spans="1:2" x14ac:dyDescent="0.3">
      <c r="A30" t="s">
        <v>29</v>
      </c>
      <c r="B30">
        <v>68</v>
      </c>
    </row>
    <row r="31" spans="1:2" x14ac:dyDescent="0.3">
      <c r="A31" t="s">
        <v>30</v>
      </c>
      <c r="B31">
        <v>69</v>
      </c>
    </row>
    <row r="32" spans="1:2" x14ac:dyDescent="0.3">
      <c r="A32" t="s">
        <v>31</v>
      </c>
      <c r="B32">
        <v>70</v>
      </c>
    </row>
    <row r="33" spans="1:2" x14ac:dyDescent="0.3">
      <c r="A33" t="s">
        <v>32</v>
      </c>
      <c r="B33">
        <v>71</v>
      </c>
    </row>
    <row r="34" spans="1:2" x14ac:dyDescent="0.3">
      <c r="A34" t="s">
        <v>33</v>
      </c>
      <c r="B34">
        <v>72</v>
      </c>
    </row>
    <row r="35" spans="1:2" x14ac:dyDescent="0.3">
      <c r="A35" t="s">
        <v>34</v>
      </c>
      <c r="B35">
        <v>73</v>
      </c>
    </row>
    <row r="36" spans="1:2" x14ac:dyDescent="0.3">
      <c r="A36" t="s">
        <v>35</v>
      </c>
      <c r="B36">
        <v>74</v>
      </c>
    </row>
    <row r="37" spans="1:2" x14ac:dyDescent="0.3">
      <c r="A37" t="s">
        <v>36</v>
      </c>
      <c r="B37">
        <v>82</v>
      </c>
    </row>
    <row r="38" spans="1:2" x14ac:dyDescent="0.3">
      <c r="A38" t="s">
        <v>37</v>
      </c>
      <c r="B38">
        <v>1</v>
      </c>
    </row>
    <row r="39" spans="1:2" x14ac:dyDescent="0.3">
      <c r="A39" t="s">
        <v>38</v>
      </c>
      <c r="B39">
        <v>2</v>
      </c>
    </row>
    <row r="40" spans="1:2" x14ac:dyDescent="0.3">
      <c r="A40" t="s">
        <v>39</v>
      </c>
      <c r="B40">
        <v>3</v>
      </c>
    </row>
    <row r="41" spans="1:2" x14ac:dyDescent="0.3">
      <c r="A41" t="s">
        <v>40</v>
      </c>
      <c r="B41">
        <v>6</v>
      </c>
    </row>
    <row r="42" spans="1:2" x14ac:dyDescent="0.3">
      <c r="A42" t="s">
        <v>41</v>
      </c>
      <c r="B42">
        <v>22</v>
      </c>
    </row>
    <row r="43" spans="1:2" x14ac:dyDescent="0.3">
      <c r="A43" t="s">
        <v>42</v>
      </c>
      <c r="B43">
        <v>23</v>
      </c>
    </row>
    <row r="44" spans="1:2" x14ac:dyDescent="0.3">
      <c r="A44" t="s">
        <v>43</v>
      </c>
      <c r="B44">
        <v>17</v>
      </c>
    </row>
    <row r="45" spans="1:2" x14ac:dyDescent="0.3">
      <c r="A45" t="s">
        <v>44</v>
      </c>
      <c r="B45">
        <v>18</v>
      </c>
    </row>
    <row r="46" spans="1:2" x14ac:dyDescent="0.3">
      <c r="A46" t="s">
        <v>45</v>
      </c>
      <c r="B46" t="s">
        <v>45</v>
      </c>
    </row>
    <row r="47" spans="1:2" x14ac:dyDescent="0.3">
      <c r="A47" t="s">
        <v>46</v>
      </c>
      <c r="B47" t="s">
        <v>46</v>
      </c>
    </row>
    <row r="48" spans="1:2" x14ac:dyDescent="0.3">
      <c r="A48" t="s">
        <v>47</v>
      </c>
      <c r="B48" t="s">
        <v>47</v>
      </c>
    </row>
    <row r="49" spans="1:2" x14ac:dyDescent="0.3">
      <c r="A49" t="s">
        <v>48</v>
      </c>
      <c r="B49" t="s">
        <v>48</v>
      </c>
    </row>
    <row r="50" spans="1:2" x14ac:dyDescent="0.3">
      <c r="A50" t="s">
        <v>49</v>
      </c>
      <c r="B50" t="s">
        <v>49</v>
      </c>
    </row>
    <row r="51" spans="1:2" x14ac:dyDescent="0.3">
      <c r="A51" t="s">
        <v>50</v>
      </c>
      <c r="B51" t="s">
        <v>50</v>
      </c>
    </row>
    <row r="52" spans="1:2" x14ac:dyDescent="0.3">
      <c r="A52" t="s">
        <v>51</v>
      </c>
      <c r="B52" t="s">
        <v>51</v>
      </c>
    </row>
    <row r="53" spans="1:2" x14ac:dyDescent="0.3">
      <c r="A53" t="s">
        <v>52</v>
      </c>
      <c r="B53" t="s">
        <v>52</v>
      </c>
    </row>
    <row r="54" spans="1:2" x14ac:dyDescent="0.3">
      <c r="A54" t="s">
        <v>53</v>
      </c>
      <c r="B54" t="s">
        <v>54</v>
      </c>
    </row>
    <row r="55" spans="1:2" x14ac:dyDescent="0.3">
      <c r="A55" t="s">
        <v>55</v>
      </c>
      <c r="B55" t="s">
        <v>54</v>
      </c>
    </row>
    <row r="56" spans="1:2" x14ac:dyDescent="0.3">
      <c r="A56" t="s">
        <v>56</v>
      </c>
      <c r="B56" t="s">
        <v>54</v>
      </c>
    </row>
    <row r="57" spans="1:2" x14ac:dyDescent="0.3">
      <c r="A57" t="s">
        <v>57</v>
      </c>
      <c r="B57" t="s">
        <v>54</v>
      </c>
    </row>
    <row r="58" spans="1:2" x14ac:dyDescent="0.3">
      <c r="A58" t="s">
        <v>58</v>
      </c>
      <c r="B58" t="s">
        <v>54</v>
      </c>
    </row>
    <row r="59" spans="1:2" x14ac:dyDescent="0.3">
      <c r="A59" t="s">
        <v>59</v>
      </c>
      <c r="B59" t="s">
        <v>54</v>
      </c>
    </row>
    <row r="60" spans="1:2" x14ac:dyDescent="0.3">
      <c r="A60" t="s">
        <v>60</v>
      </c>
      <c r="B60" t="s">
        <v>54</v>
      </c>
    </row>
    <row r="61" spans="1:2" x14ac:dyDescent="0.3">
      <c r="A61" t="s">
        <v>61</v>
      </c>
      <c r="B61" t="s">
        <v>54</v>
      </c>
    </row>
    <row r="62" spans="1:2" x14ac:dyDescent="0.3">
      <c r="A62" t="s">
        <v>62</v>
      </c>
      <c r="B62" t="s">
        <v>54</v>
      </c>
    </row>
    <row r="63" spans="1:2" x14ac:dyDescent="0.3">
      <c r="A63" t="s">
        <v>63</v>
      </c>
      <c r="B63" t="s">
        <v>54</v>
      </c>
    </row>
    <row r="64" spans="1:2" x14ac:dyDescent="0.3">
      <c r="A64" t="s">
        <v>64</v>
      </c>
      <c r="B64" t="s">
        <v>54</v>
      </c>
    </row>
    <row r="65" spans="1:2" x14ac:dyDescent="0.3">
      <c r="A65" t="s">
        <v>65</v>
      </c>
      <c r="B65" t="s">
        <v>66</v>
      </c>
    </row>
    <row r="66" spans="1:2" x14ac:dyDescent="0.3">
      <c r="A66" t="s">
        <v>67</v>
      </c>
      <c r="B66" t="s">
        <v>66</v>
      </c>
    </row>
    <row r="67" spans="1:2" x14ac:dyDescent="0.3">
      <c r="A67" t="s">
        <v>68</v>
      </c>
      <c r="B67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2"/>
  <sheetViews>
    <sheetView tabSelected="1" showOutlineSymbols="0" showWhiteSpace="0" topLeftCell="C1" zoomScale="122" workbookViewId="0">
      <selection activeCell="D2" sqref="D2"/>
    </sheetView>
  </sheetViews>
  <sheetFormatPr defaultRowHeight="14" x14ac:dyDescent="0.3"/>
  <cols>
    <col min="1" max="1" width="28.1640625" customWidth="1"/>
    <col min="2" max="2" width="25.6640625" customWidth="1"/>
    <col min="3" max="3" width="34.9140625" customWidth="1"/>
    <col min="4" max="4" width="47.4140625" customWidth="1"/>
    <col min="5" max="5" width="14.4140625" bestFit="1" customWidth="1"/>
    <col min="6" max="6" width="34.1640625" bestFit="1" customWidth="1"/>
    <col min="7" max="7" width="25.1640625" bestFit="1" customWidth="1"/>
    <col min="8" max="8" width="14.4140625" bestFit="1" customWidth="1"/>
    <col min="9" max="9" width="82.83203125" bestFit="1" customWidth="1"/>
    <col min="10" max="10" width="79.1640625" bestFit="1" customWidth="1"/>
    <col min="11" max="12" width="28.83203125" bestFit="1" customWidth="1"/>
    <col min="13" max="13" width="18" bestFit="1" customWidth="1"/>
    <col min="14" max="14" width="46.83203125" bestFit="1" customWidth="1"/>
    <col min="15" max="15" width="48.58203125" bestFit="1" customWidth="1"/>
    <col min="16" max="16" width="100.83203125" bestFit="1" customWidth="1"/>
    <col min="17" max="17" width="19.83203125" bestFit="1" customWidth="1"/>
    <col min="18" max="18" width="28.83203125" bestFit="1" customWidth="1"/>
    <col min="19" max="19" width="5" bestFit="1" customWidth="1"/>
    <col min="20" max="20" width="40" bestFit="1" customWidth="1"/>
  </cols>
  <sheetData>
    <row r="1" spans="1:18" ht="90" customHeight="1" x14ac:dyDescent="0.3">
      <c r="A1" s="3" t="s">
        <v>69</v>
      </c>
      <c r="B1" s="3" t="s">
        <v>70</v>
      </c>
      <c r="C1" s="3" t="s">
        <v>71</v>
      </c>
      <c r="D1" s="3" t="s">
        <v>70</v>
      </c>
      <c r="E1" s="3" t="s">
        <v>72</v>
      </c>
      <c r="F1" s="3" t="s">
        <v>71</v>
      </c>
      <c r="G1" s="3" t="s">
        <v>73</v>
      </c>
      <c r="H1" s="3" t="s">
        <v>70</v>
      </c>
      <c r="I1" s="3" t="s">
        <v>70</v>
      </c>
      <c r="J1" s="3" t="s">
        <v>70</v>
      </c>
      <c r="K1" s="3" t="s">
        <v>70</v>
      </c>
      <c r="L1" s="3" t="s">
        <v>70</v>
      </c>
      <c r="M1" s="3" t="s">
        <v>70</v>
      </c>
      <c r="N1" s="3" t="s">
        <v>71</v>
      </c>
      <c r="O1" s="3" t="s">
        <v>70</v>
      </c>
      <c r="P1" s="3" t="s">
        <v>74</v>
      </c>
      <c r="Q1" s="3" t="s">
        <v>74</v>
      </c>
      <c r="R1" s="3" t="s">
        <v>74</v>
      </c>
    </row>
    <row r="2" spans="1:18" ht="30" customHeight="1" x14ac:dyDescent="0.3">
      <c r="A2" s="2" t="s">
        <v>75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85</v>
      </c>
      <c r="L2" s="2" t="s">
        <v>86</v>
      </c>
      <c r="M2" s="2" t="s">
        <v>87</v>
      </c>
      <c r="N2" s="2" t="s">
        <v>88</v>
      </c>
      <c r="O2" s="2" t="s">
        <v>89</v>
      </c>
      <c r="P2" s="2" t="s">
        <v>90</v>
      </c>
      <c r="Q2" s="2" t="s">
        <v>91</v>
      </c>
      <c r="R2" s="2" t="s">
        <v>92</v>
      </c>
    </row>
    <row r="3" spans="1:18" x14ac:dyDescent="0.3">
      <c r="A3" s="6" t="s">
        <v>2091</v>
      </c>
      <c r="B3" s="5" t="s">
        <v>2090</v>
      </c>
      <c r="C3" s="4" t="s">
        <v>93</v>
      </c>
      <c r="D3" t="s">
        <v>1089</v>
      </c>
      <c r="N3" s="5">
        <v>59.95</v>
      </c>
      <c r="Q3" s="5" t="str">
        <f>"2140482000001"</f>
        <v>2140482000001</v>
      </c>
      <c r="R3" t="s">
        <v>48</v>
      </c>
    </row>
    <row r="4" spans="1:18" x14ac:dyDescent="0.3">
      <c r="A4" s="6" t="s">
        <v>2092</v>
      </c>
      <c r="B4" s="5" t="s">
        <v>2090</v>
      </c>
      <c r="C4" s="4" t="s">
        <v>2086</v>
      </c>
      <c r="D4" s="4" t="s">
        <v>1090</v>
      </c>
      <c r="N4" s="5">
        <v>14</v>
      </c>
      <c r="Q4" s="5" t="str">
        <f>"6281022107272"</f>
        <v>6281022107272</v>
      </c>
      <c r="R4" t="s">
        <v>48</v>
      </c>
    </row>
    <row r="5" spans="1:18" x14ac:dyDescent="0.3">
      <c r="A5" s="6" t="s">
        <v>2093</v>
      </c>
      <c r="B5" s="5" t="s">
        <v>2090</v>
      </c>
      <c r="C5" s="4" t="s">
        <v>94</v>
      </c>
      <c r="D5" s="4" t="s">
        <v>1091</v>
      </c>
      <c r="N5" s="5">
        <v>16.5</v>
      </c>
      <c r="Q5" s="5" t="str">
        <f>"5290036003297"</f>
        <v>5290036003297</v>
      </c>
      <c r="R5" t="s">
        <v>48</v>
      </c>
    </row>
    <row r="6" spans="1:18" x14ac:dyDescent="0.3">
      <c r="A6" s="6" t="s">
        <v>2094</v>
      </c>
      <c r="B6" s="5" t="s">
        <v>2090</v>
      </c>
      <c r="C6" s="4" t="s">
        <v>95</v>
      </c>
      <c r="D6" s="4" t="s">
        <v>1092</v>
      </c>
      <c r="N6" s="5">
        <v>30.75</v>
      </c>
      <c r="Q6" s="5" t="str">
        <f>"6281007031783"</f>
        <v>6281007031783</v>
      </c>
    </row>
    <row r="7" spans="1:18" x14ac:dyDescent="0.3">
      <c r="A7" s="6" t="s">
        <v>2095</v>
      </c>
      <c r="B7" s="5" t="s">
        <v>2090</v>
      </c>
      <c r="C7" s="4" t="s">
        <v>96</v>
      </c>
      <c r="D7" s="4" t="s">
        <v>1093</v>
      </c>
      <c r="N7" s="5">
        <v>17.5</v>
      </c>
      <c r="Q7" s="5" t="str">
        <f>"6281007065740"</f>
        <v>6281007065740</v>
      </c>
    </row>
    <row r="8" spans="1:18" x14ac:dyDescent="0.3">
      <c r="A8" s="6" t="s">
        <v>2096</v>
      </c>
      <c r="B8" s="5" t="s">
        <v>2090</v>
      </c>
      <c r="C8" s="4" t="s">
        <v>97</v>
      </c>
      <c r="D8" s="4" t="s">
        <v>1094</v>
      </c>
      <c r="N8" s="5">
        <v>7.5</v>
      </c>
      <c r="Q8" s="5" t="str">
        <f>"6281007031240"</f>
        <v>6281007031240</v>
      </c>
    </row>
    <row r="9" spans="1:18" x14ac:dyDescent="0.3">
      <c r="A9" s="6" t="s">
        <v>2097</v>
      </c>
      <c r="B9" s="5" t="s">
        <v>2090</v>
      </c>
      <c r="C9" s="4" t="s">
        <v>2088</v>
      </c>
      <c r="D9" s="4" t="s">
        <v>1095</v>
      </c>
      <c r="N9" s="5">
        <v>38</v>
      </c>
      <c r="Q9" s="5" t="str">
        <f>"6281057030057"</f>
        <v>6281057030057</v>
      </c>
    </row>
    <row r="10" spans="1:18" x14ac:dyDescent="0.3">
      <c r="A10" s="6" t="s">
        <v>2098</v>
      </c>
      <c r="B10" s="5" t="s">
        <v>2090</v>
      </c>
      <c r="C10" s="4" t="s">
        <v>98</v>
      </c>
      <c r="D10" s="4" t="s">
        <v>1096</v>
      </c>
      <c r="F10" t="s">
        <v>48</v>
      </c>
      <c r="N10" s="5">
        <v>11.75</v>
      </c>
      <c r="Q10" s="5" t="str">
        <f>"6287004520060"</f>
        <v>6287004520060</v>
      </c>
    </row>
    <row r="11" spans="1:18" x14ac:dyDescent="0.3">
      <c r="A11" s="6" t="s">
        <v>2099</v>
      </c>
      <c r="B11" s="5" t="s">
        <v>2090</v>
      </c>
      <c r="C11" s="4" t="s">
        <v>2087</v>
      </c>
      <c r="D11" s="4" t="s">
        <v>2089</v>
      </c>
      <c r="N11" s="5">
        <v>27.25</v>
      </c>
      <c r="Q11" s="5" t="str">
        <f>"6281007038911"</f>
        <v>6281007038911</v>
      </c>
    </row>
    <row r="12" spans="1:18" x14ac:dyDescent="0.3">
      <c r="A12" s="6" t="s">
        <v>2100</v>
      </c>
      <c r="B12" s="5" t="s">
        <v>2090</v>
      </c>
      <c r="C12" s="4" t="s">
        <v>99</v>
      </c>
      <c r="D12" s="4" t="s">
        <v>1097</v>
      </c>
      <c r="N12" s="5">
        <v>17.95</v>
      </c>
      <c r="Q12" s="5" t="str">
        <f>"6281000588055"</f>
        <v>6281000588055</v>
      </c>
    </row>
    <row r="13" spans="1:18" x14ac:dyDescent="0.3">
      <c r="A13" s="6" t="s">
        <v>2101</v>
      </c>
      <c r="B13" s="5" t="s">
        <v>2090</v>
      </c>
      <c r="C13" s="4" t="s">
        <v>100</v>
      </c>
      <c r="D13" s="4" t="s">
        <v>1098</v>
      </c>
      <c r="N13" s="5">
        <v>3.25</v>
      </c>
      <c r="Q13" s="5" t="str">
        <f>"6281022126938"</f>
        <v>6281022126938</v>
      </c>
    </row>
    <row r="14" spans="1:18" x14ac:dyDescent="0.3">
      <c r="A14" s="6" t="s">
        <v>2102</v>
      </c>
      <c r="B14" s="5" t="s">
        <v>2090</v>
      </c>
      <c r="C14" s="4" t="s">
        <v>101</v>
      </c>
      <c r="D14" s="4" t="s">
        <v>1099</v>
      </c>
      <c r="N14" s="5">
        <v>26.95</v>
      </c>
      <c r="Q14" s="5" t="str">
        <f>"6281057005512"</f>
        <v>6281057005512</v>
      </c>
    </row>
    <row r="15" spans="1:18" x14ac:dyDescent="0.3">
      <c r="A15" s="6" t="s">
        <v>2103</v>
      </c>
      <c r="B15" s="5" t="s">
        <v>2090</v>
      </c>
      <c r="C15" s="4" t="s">
        <v>102</v>
      </c>
      <c r="D15" s="4" t="s">
        <v>1100</v>
      </c>
      <c r="N15" s="5">
        <v>5.45</v>
      </c>
      <c r="Q15" s="5" t="str">
        <f>"6281018130383"</f>
        <v>6281018130383</v>
      </c>
    </row>
    <row r="16" spans="1:18" x14ac:dyDescent="0.3">
      <c r="A16" s="6" t="s">
        <v>2104</v>
      </c>
      <c r="B16" s="5" t="s">
        <v>2090</v>
      </c>
      <c r="C16" s="4" t="s">
        <v>103</v>
      </c>
      <c r="D16" s="4" t="s">
        <v>1101</v>
      </c>
      <c r="N16" s="5">
        <v>4</v>
      </c>
      <c r="Q16" s="5" t="str">
        <f>"6281007666527"</f>
        <v>6281007666527</v>
      </c>
    </row>
    <row r="17" spans="1:17" x14ac:dyDescent="0.3">
      <c r="A17" s="6" t="s">
        <v>2105</v>
      </c>
      <c r="B17" s="5" t="s">
        <v>2090</v>
      </c>
      <c r="C17" s="4" t="s">
        <v>104</v>
      </c>
      <c r="D17" s="4" t="s">
        <v>1102</v>
      </c>
      <c r="N17" s="5">
        <v>19</v>
      </c>
      <c r="Q17" s="5" t="str">
        <f>"6281022167726"</f>
        <v>6281022167726</v>
      </c>
    </row>
    <row r="18" spans="1:17" x14ac:dyDescent="0.3">
      <c r="A18" s="6" t="s">
        <v>2106</v>
      </c>
      <c r="B18" s="5" t="s">
        <v>2090</v>
      </c>
      <c r="C18" s="4" t="s">
        <v>105</v>
      </c>
      <c r="D18" s="4" t="s">
        <v>1103</v>
      </c>
      <c r="N18" s="5">
        <v>10.95</v>
      </c>
      <c r="Q18" s="5" t="str">
        <f>"6281007110501"</f>
        <v>6281007110501</v>
      </c>
    </row>
    <row r="19" spans="1:17" x14ac:dyDescent="0.3">
      <c r="A19" s="6" t="s">
        <v>2107</v>
      </c>
      <c r="B19" s="5" t="s">
        <v>2090</v>
      </c>
      <c r="C19" s="4" t="s">
        <v>106</v>
      </c>
      <c r="D19" s="4" t="s">
        <v>1104</v>
      </c>
      <c r="N19" s="5">
        <v>20.25</v>
      </c>
      <c r="Q19" s="5" t="str">
        <f>"6281051005778"</f>
        <v>6281051005778</v>
      </c>
    </row>
    <row r="20" spans="1:17" x14ac:dyDescent="0.3">
      <c r="A20" s="6" t="s">
        <v>2108</v>
      </c>
      <c r="B20" s="5" t="s">
        <v>2090</v>
      </c>
      <c r="C20" s="4" t="s">
        <v>107</v>
      </c>
      <c r="D20" s="4" t="s">
        <v>1105</v>
      </c>
      <c r="N20" s="5">
        <v>46.95</v>
      </c>
      <c r="Q20" s="5" t="str">
        <f>"3073781190908"</f>
        <v>3073781190908</v>
      </c>
    </row>
    <row r="21" spans="1:17" x14ac:dyDescent="0.3">
      <c r="A21" s="6" t="s">
        <v>2109</v>
      </c>
      <c r="B21" s="5" t="s">
        <v>2090</v>
      </c>
      <c r="C21" s="4" t="s">
        <v>108</v>
      </c>
      <c r="D21" s="4" t="s">
        <v>1106</v>
      </c>
      <c r="N21" s="5">
        <v>11.95</v>
      </c>
      <c r="Q21" s="5" t="str">
        <f>"6281022116496"</f>
        <v>6281022116496</v>
      </c>
    </row>
    <row r="22" spans="1:17" x14ac:dyDescent="0.3">
      <c r="A22" s="6" t="s">
        <v>2110</v>
      </c>
      <c r="B22" s="5" t="s">
        <v>2090</v>
      </c>
      <c r="C22" s="4" t="s">
        <v>109</v>
      </c>
      <c r="D22" s="4" t="s">
        <v>1107</v>
      </c>
      <c r="N22" s="5">
        <v>51.5</v>
      </c>
      <c r="Q22" s="5" t="str">
        <f>"6281007045360"</f>
        <v>6281007045360</v>
      </c>
    </row>
    <row r="23" spans="1:17" x14ac:dyDescent="0.3">
      <c r="A23" s="6" t="s">
        <v>2111</v>
      </c>
      <c r="B23" s="5" t="s">
        <v>2090</v>
      </c>
      <c r="C23" s="4" t="s">
        <v>110</v>
      </c>
      <c r="D23" s="4" t="s">
        <v>1108</v>
      </c>
      <c r="N23" s="5">
        <v>30.5</v>
      </c>
      <c r="Q23" s="5" t="str">
        <f>"6271002190226"</f>
        <v>6271002190226</v>
      </c>
    </row>
    <row r="24" spans="1:17" x14ac:dyDescent="0.3">
      <c r="A24" s="6" t="s">
        <v>2112</v>
      </c>
      <c r="B24" s="5" t="s">
        <v>2090</v>
      </c>
      <c r="C24" s="4" t="s">
        <v>111</v>
      </c>
      <c r="D24" s="4" t="s">
        <v>1109</v>
      </c>
      <c r="N24" s="5">
        <v>12</v>
      </c>
      <c r="Q24" s="5" t="str">
        <f>"6281057001163"</f>
        <v>6281057001163</v>
      </c>
    </row>
    <row r="25" spans="1:17" x14ac:dyDescent="0.3">
      <c r="A25" s="6" t="s">
        <v>2113</v>
      </c>
      <c r="B25" s="5" t="s">
        <v>2090</v>
      </c>
      <c r="C25" s="4" t="s">
        <v>112</v>
      </c>
      <c r="D25" s="4" t="s">
        <v>1110</v>
      </c>
      <c r="N25" s="5">
        <v>18</v>
      </c>
      <c r="Q25" s="5" t="str">
        <f>"6281024110201"</f>
        <v>6281024110201</v>
      </c>
    </row>
    <row r="26" spans="1:17" x14ac:dyDescent="0.3">
      <c r="A26" s="6" t="s">
        <v>2114</v>
      </c>
      <c r="B26" s="5" t="s">
        <v>2090</v>
      </c>
      <c r="C26" s="4" t="s">
        <v>113</v>
      </c>
      <c r="D26" s="4" t="s">
        <v>1111</v>
      </c>
      <c r="N26" s="5">
        <v>47.25</v>
      </c>
      <c r="Q26" s="5" t="str">
        <f>"6281057081066"</f>
        <v>6281057081066</v>
      </c>
    </row>
    <row r="27" spans="1:17" x14ac:dyDescent="0.3">
      <c r="A27" s="6" t="s">
        <v>2115</v>
      </c>
      <c r="B27" s="5" t="s">
        <v>2090</v>
      </c>
      <c r="C27" s="4" t="s">
        <v>114</v>
      </c>
      <c r="D27" s="4" t="s">
        <v>1112</v>
      </c>
      <c r="N27" s="5">
        <v>6.25</v>
      </c>
      <c r="Q27" s="5" t="str">
        <f>"6281007031233"</f>
        <v>6281007031233</v>
      </c>
    </row>
    <row r="28" spans="1:17" x14ac:dyDescent="0.3">
      <c r="A28" s="6" t="s">
        <v>2116</v>
      </c>
      <c r="B28" s="5" t="s">
        <v>2090</v>
      </c>
      <c r="C28" s="4" t="s">
        <v>115</v>
      </c>
      <c r="D28" s="4" t="s">
        <v>1113</v>
      </c>
      <c r="N28" s="5">
        <v>9.9499999999999993</v>
      </c>
      <c r="Q28" s="5" t="str">
        <f>"6281007033206"</f>
        <v>6281007033206</v>
      </c>
    </row>
    <row r="29" spans="1:17" x14ac:dyDescent="0.3">
      <c r="A29" s="6" t="s">
        <v>2117</v>
      </c>
      <c r="B29" s="5" t="s">
        <v>2090</v>
      </c>
      <c r="C29" s="4" t="s">
        <v>116</v>
      </c>
      <c r="D29" s="4" t="s">
        <v>1114</v>
      </c>
      <c r="N29" s="5">
        <v>14.95</v>
      </c>
      <c r="Q29" s="5" t="str">
        <f>"6281057030040"</f>
        <v>6281057030040</v>
      </c>
    </row>
    <row r="30" spans="1:17" x14ac:dyDescent="0.3">
      <c r="A30" s="6" t="s">
        <v>2118</v>
      </c>
      <c r="B30" s="5" t="s">
        <v>2090</v>
      </c>
      <c r="C30" s="4" t="s">
        <v>117</v>
      </c>
      <c r="D30" s="4" t="s">
        <v>1115</v>
      </c>
      <c r="N30" s="5">
        <v>25.25</v>
      </c>
      <c r="Q30" s="5" t="str">
        <f>"6281024110034"</f>
        <v>6281024110034</v>
      </c>
    </row>
    <row r="31" spans="1:17" x14ac:dyDescent="0.3">
      <c r="A31" s="6" t="s">
        <v>2119</v>
      </c>
      <c r="B31" s="5" t="s">
        <v>2090</v>
      </c>
      <c r="C31" s="4" t="s">
        <v>118</v>
      </c>
      <c r="D31" s="4" t="s">
        <v>1116</v>
      </c>
      <c r="N31" s="5">
        <v>4.95</v>
      </c>
      <c r="Q31" s="5" t="str">
        <f>"6281022126945"</f>
        <v>6281022126945</v>
      </c>
    </row>
    <row r="32" spans="1:17" x14ac:dyDescent="0.3">
      <c r="A32" s="6" t="s">
        <v>2120</v>
      </c>
      <c r="B32" s="5" t="s">
        <v>2090</v>
      </c>
      <c r="C32" s="4" t="s">
        <v>119</v>
      </c>
      <c r="D32" s="4" t="s">
        <v>1117</v>
      </c>
      <c r="N32" s="5">
        <v>7</v>
      </c>
      <c r="Q32" s="5" t="str">
        <f>"6281018143949"</f>
        <v>6281018143949</v>
      </c>
    </row>
    <row r="33" spans="1:17" x14ac:dyDescent="0.3">
      <c r="A33" s="6" t="s">
        <v>2121</v>
      </c>
      <c r="B33" s="5" t="s">
        <v>2090</v>
      </c>
      <c r="C33" s="4" t="s">
        <v>120</v>
      </c>
      <c r="D33" s="4" t="s">
        <v>1118</v>
      </c>
      <c r="N33" s="5">
        <v>5.75</v>
      </c>
      <c r="Q33" s="5" t="str">
        <f>"6281018146988"</f>
        <v>6281018146988</v>
      </c>
    </row>
    <row r="34" spans="1:17" x14ac:dyDescent="0.3">
      <c r="A34" s="6" t="s">
        <v>2122</v>
      </c>
      <c r="B34" s="5" t="s">
        <v>2090</v>
      </c>
      <c r="C34" s="4" t="s">
        <v>121</v>
      </c>
      <c r="D34" s="4" t="s">
        <v>1119</v>
      </c>
      <c r="N34" s="5">
        <v>11.75</v>
      </c>
      <c r="Q34" s="5" t="str">
        <f>"8692971031583"</f>
        <v>8692971031583</v>
      </c>
    </row>
    <row r="35" spans="1:17" x14ac:dyDescent="0.3">
      <c r="A35" s="6" t="s">
        <v>2123</v>
      </c>
      <c r="B35" s="5" t="s">
        <v>2090</v>
      </c>
      <c r="C35" s="4" t="s">
        <v>122</v>
      </c>
      <c r="D35" s="4" t="s">
        <v>1120</v>
      </c>
      <c r="N35" s="5">
        <v>31</v>
      </c>
      <c r="Q35" s="5" t="str">
        <f>"6281039105537"</f>
        <v>6281039105537</v>
      </c>
    </row>
    <row r="36" spans="1:17" x14ac:dyDescent="0.3">
      <c r="A36" s="6" t="s">
        <v>2124</v>
      </c>
      <c r="B36" s="5" t="s">
        <v>2090</v>
      </c>
      <c r="C36" s="4" t="s">
        <v>123</v>
      </c>
      <c r="D36" s="4" t="s">
        <v>1121</v>
      </c>
      <c r="N36" s="5">
        <v>109.95</v>
      </c>
      <c r="Q36" s="5" t="str">
        <f>"2148383000007"</f>
        <v>2148383000007</v>
      </c>
    </row>
    <row r="37" spans="1:17" x14ac:dyDescent="0.3">
      <c r="A37" s="6" t="s">
        <v>2125</v>
      </c>
      <c r="B37" s="5" t="s">
        <v>2090</v>
      </c>
      <c r="C37" s="4" t="s">
        <v>124</v>
      </c>
      <c r="D37" s="4" t="s">
        <v>1122</v>
      </c>
      <c r="N37" s="5">
        <v>23.95</v>
      </c>
      <c r="Q37" s="5" t="str">
        <f>"6281048108390"</f>
        <v>6281048108390</v>
      </c>
    </row>
    <row r="38" spans="1:17" x14ac:dyDescent="0.3">
      <c r="A38" s="6" t="s">
        <v>2126</v>
      </c>
      <c r="B38" s="5" t="s">
        <v>2090</v>
      </c>
      <c r="C38" s="4" t="s">
        <v>125</v>
      </c>
      <c r="D38" s="4" t="s">
        <v>1123</v>
      </c>
      <c r="N38" s="5">
        <v>8</v>
      </c>
      <c r="Q38" s="5" t="str">
        <f>"6281007037150"</f>
        <v>6281007037150</v>
      </c>
    </row>
    <row r="39" spans="1:17" x14ac:dyDescent="0.3">
      <c r="A39" s="6" t="s">
        <v>2127</v>
      </c>
      <c r="B39" s="5" t="s">
        <v>2090</v>
      </c>
      <c r="C39" s="4" t="s">
        <v>126</v>
      </c>
      <c r="D39" s="4" t="s">
        <v>1124</v>
      </c>
      <c r="N39" s="5">
        <v>67</v>
      </c>
      <c r="Q39" s="5" t="str">
        <f>"6281007052016"</f>
        <v>6281007052016</v>
      </c>
    </row>
    <row r="40" spans="1:17" x14ac:dyDescent="0.3">
      <c r="A40" s="6" t="s">
        <v>2128</v>
      </c>
      <c r="B40" s="5" t="s">
        <v>2090</v>
      </c>
      <c r="C40" s="4" t="s">
        <v>127</v>
      </c>
      <c r="D40" s="4" t="s">
        <v>1125</v>
      </c>
      <c r="N40" s="5">
        <v>18.95</v>
      </c>
      <c r="Q40" s="5" t="str">
        <f>"3245412730870"</f>
        <v>3245412730870</v>
      </c>
    </row>
    <row r="41" spans="1:17" x14ac:dyDescent="0.3">
      <c r="A41" s="6" t="s">
        <v>2129</v>
      </c>
      <c r="B41" s="5" t="s">
        <v>2090</v>
      </c>
      <c r="C41" s="4" t="s">
        <v>128</v>
      </c>
      <c r="D41" s="4" t="s">
        <v>1126</v>
      </c>
      <c r="N41" s="5">
        <v>2</v>
      </c>
      <c r="Q41" s="5" t="str">
        <f>"6281057001118"</f>
        <v>6281057001118</v>
      </c>
    </row>
    <row r="42" spans="1:17" x14ac:dyDescent="0.3">
      <c r="A42" s="6" t="s">
        <v>2130</v>
      </c>
      <c r="B42" s="5" t="s">
        <v>2090</v>
      </c>
      <c r="C42" s="4" t="s">
        <v>129</v>
      </c>
      <c r="D42" s="4" t="s">
        <v>1127</v>
      </c>
      <c r="N42" s="5">
        <v>26.95</v>
      </c>
      <c r="Q42" s="5" t="str">
        <f>"5740900403550"</f>
        <v>5740900403550</v>
      </c>
    </row>
    <row r="43" spans="1:17" x14ac:dyDescent="0.3">
      <c r="A43" s="6" t="s">
        <v>2141</v>
      </c>
      <c r="B43" s="5" t="s">
        <v>2090</v>
      </c>
      <c r="C43" s="4" t="s">
        <v>130</v>
      </c>
      <c r="D43" s="4" t="s">
        <v>1128</v>
      </c>
      <c r="N43" s="5">
        <v>33</v>
      </c>
      <c r="Q43" s="5" t="str">
        <f>"6281007032704"</f>
        <v>6281007032704</v>
      </c>
    </row>
    <row r="44" spans="1:17" x14ac:dyDescent="0.3">
      <c r="A44" s="6" t="s">
        <v>2142</v>
      </c>
      <c r="B44" s="5" t="s">
        <v>2090</v>
      </c>
      <c r="C44" s="4" t="s">
        <v>131</v>
      </c>
      <c r="D44" s="4" t="s">
        <v>1129</v>
      </c>
      <c r="N44" s="5">
        <v>42.95</v>
      </c>
      <c r="Q44" s="5" t="str">
        <f>"2144427000002"</f>
        <v>2144427000002</v>
      </c>
    </row>
    <row r="45" spans="1:17" x14ac:dyDescent="0.3">
      <c r="A45" s="6" t="s">
        <v>2143</v>
      </c>
      <c r="B45" s="5" t="s">
        <v>2090</v>
      </c>
      <c r="C45" s="4" t="s">
        <v>132</v>
      </c>
      <c r="D45" s="4" t="s">
        <v>1130</v>
      </c>
      <c r="N45" s="5">
        <v>23.25</v>
      </c>
      <c r="Q45" s="5" t="str">
        <f>"6281022135190"</f>
        <v>6281022135190</v>
      </c>
    </row>
    <row r="46" spans="1:17" x14ac:dyDescent="0.3">
      <c r="A46" s="6" t="s">
        <v>2144</v>
      </c>
      <c r="B46" s="5" t="s">
        <v>2090</v>
      </c>
      <c r="C46" s="4" t="s">
        <v>133</v>
      </c>
      <c r="D46" s="4" t="s">
        <v>1131</v>
      </c>
      <c r="N46" s="5">
        <v>2</v>
      </c>
      <c r="Q46" s="5" t="str">
        <f>"6281007040716"</f>
        <v>6281007040716</v>
      </c>
    </row>
    <row r="47" spans="1:17" x14ac:dyDescent="0.3">
      <c r="A47" s="6" t="s">
        <v>2145</v>
      </c>
      <c r="B47" s="5" t="s">
        <v>2090</v>
      </c>
      <c r="C47" s="4" t="s">
        <v>134</v>
      </c>
      <c r="D47" s="4" t="s">
        <v>1132</v>
      </c>
      <c r="N47" s="5">
        <v>23.95</v>
      </c>
      <c r="Q47" s="5" t="str">
        <f>"6281007037358"</f>
        <v>6281007037358</v>
      </c>
    </row>
    <row r="48" spans="1:17" x14ac:dyDescent="0.3">
      <c r="A48" s="6" t="s">
        <v>2146</v>
      </c>
      <c r="B48" s="5" t="s">
        <v>2090</v>
      </c>
      <c r="C48" s="4" t="s">
        <v>135</v>
      </c>
      <c r="D48" s="4" t="s">
        <v>1133</v>
      </c>
      <c r="N48" s="5">
        <v>9.9499999999999993</v>
      </c>
      <c r="Q48" s="5" t="str">
        <f>"6281007042178"</f>
        <v>6281007042178</v>
      </c>
    </row>
    <row r="49" spans="1:17" x14ac:dyDescent="0.3">
      <c r="A49" s="6" t="s">
        <v>2147</v>
      </c>
      <c r="B49" s="5" t="s">
        <v>2090</v>
      </c>
      <c r="C49" s="4" t="s">
        <v>136</v>
      </c>
      <c r="D49" s="4" t="s">
        <v>1134</v>
      </c>
      <c r="N49" s="5">
        <v>49.5</v>
      </c>
      <c r="Q49" s="5" t="str">
        <f>"6281039105131"</f>
        <v>6281039105131</v>
      </c>
    </row>
    <row r="50" spans="1:17" x14ac:dyDescent="0.3">
      <c r="A50" s="6" t="s">
        <v>2148</v>
      </c>
      <c r="B50" s="5" t="s">
        <v>2090</v>
      </c>
      <c r="C50" s="4" t="s">
        <v>137</v>
      </c>
      <c r="D50" s="4" t="s">
        <v>1135</v>
      </c>
      <c r="N50" s="5">
        <v>48.95</v>
      </c>
      <c r="Q50" s="5" t="str">
        <f>"6281057007165"</f>
        <v>6281057007165</v>
      </c>
    </row>
    <row r="51" spans="1:17" x14ac:dyDescent="0.3">
      <c r="A51" s="6" t="s">
        <v>2149</v>
      </c>
      <c r="B51" s="5" t="s">
        <v>2090</v>
      </c>
      <c r="C51" s="4" t="s">
        <v>138</v>
      </c>
      <c r="D51" s="4" t="s">
        <v>1136</v>
      </c>
      <c r="N51" s="5">
        <v>66.5</v>
      </c>
      <c r="Q51" s="5" t="str">
        <f>"6084012090390"</f>
        <v>6084012090390</v>
      </c>
    </row>
    <row r="52" spans="1:17" x14ac:dyDescent="0.3">
      <c r="A52" s="6" t="s">
        <v>2150</v>
      </c>
      <c r="B52" s="5" t="s">
        <v>2090</v>
      </c>
      <c r="C52" s="4" t="s">
        <v>139</v>
      </c>
      <c r="D52" s="4" t="s">
        <v>1137</v>
      </c>
      <c r="N52" s="5">
        <v>22.95</v>
      </c>
      <c r="Q52" s="5" t="str">
        <f>"3073781147087"</f>
        <v>3073781147087</v>
      </c>
    </row>
    <row r="53" spans="1:17" x14ac:dyDescent="0.3">
      <c r="A53" s="6" t="s">
        <v>2151</v>
      </c>
      <c r="B53" s="5" t="s">
        <v>2090</v>
      </c>
      <c r="C53" s="4" t="s">
        <v>140</v>
      </c>
      <c r="D53" s="4" t="s">
        <v>1138</v>
      </c>
      <c r="N53" s="5">
        <v>21.95</v>
      </c>
      <c r="Q53" s="5" t="str">
        <f>"2144139000000"</f>
        <v>2144139000000</v>
      </c>
    </row>
    <row r="54" spans="1:17" x14ac:dyDescent="0.3">
      <c r="A54" s="6" t="s">
        <v>2152</v>
      </c>
      <c r="B54" s="5" t="s">
        <v>2090</v>
      </c>
      <c r="C54" s="4" t="s">
        <v>141</v>
      </c>
      <c r="D54" s="4" t="s">
        <v>1139</v>
      </c>
      <c r="N54" s="5">
        <v>13.25</v>
      </c>
      <c r="Q54" s="5" t="str">
        <f>"6281022135282"</f>
        <v>6281022135282</v>
      </c>
    </row>
    <row r="55" spans="1:17" x14ac:dyDescent="0.3">
      <c r="A55" s="6" t="s">
        <v>2153</v>
      </c>
      <c r="B55" s="5" t="s">
        <v>2090</v>
      </c>
      <c r="C55" s="4" t="s">
        <v>142</v>
      </c>
      <c r="D55" s="4" t="s">
        <v>1140</v>
      </c>
      <c r="N55" s="5">
        <v>29.5</v>
      </c>
      <c r="Q55" s="5" t="str">
        <f>"5740900864405"</f>
        <v>5740900864405</v>
      </c>
    </row>
    <row r="56" spans="1:17" x14ac:dyDescent="0.3">
      <c r="A56" s="6" t="s">
        <v>2154</v>
      </c>
      <c r="B56" s="5" t="s">
        <v>2090</v>
      </c>
      <c r="C56" s="4" t="s">
        <v>143</v>
      </c>
      <c r="D56" s="4" t="s">
        <v>1141</v>
      </c>
      <c r="N56" s="5">
        <v>10.5</v>
      </c>
      <c r="Q56" s="5" t="str">
        <f>"6281106110488"</f>
        <v>6281106110488</v>
      </c>
    </row>
    <row r="57" spans="1:17" x14ac:dyDescent="0.3">
      <c r="A57" s="6" t="s">
        <v>2155</v>
      </c>
      <c r="B57" s="5" t="s">
        <v>2090</v>
      </c>
      <c r="C57" s="4" t="s">
        <v>144</v>
      </c>
      <c r="D57" s="4" t="s">
        <v>1142</v>
      </c>
      <c r="N57" s="5">
        <v>18</v>
      </c>
      <c r="Q57" s="5" t="str">
        <f>"8692041000709"</f>
        <v>8692041000709</v>
      </c>
    </row>
    <row r="58" spans="1:17" x14ac:dyDescent="0.3">
      <c r="A58" s="6" t="s">
        <v>2156</v>
      </c>
      <c r="B58" s="5" t="s">
        <v>2090</v>
      </c>
      <c r="C58" s="4" t="s">
        <v>145</v>
      </c>
      <c r="D58" s="4" t="s">
        <v>1143</v>
      </c>
      <c r="N58" s="5">
        <v>27</v>
      </c>
      <c r="Q58" s="5" t="str">
        <f>"5411188110835"</f>
        <v>5411188110835</v>
      </c>
    </row>
    <row r="59" spans="1:17" x14ac:dyDescent="0.3">
      <c r="A59" s="6" t="s">
        <v>2157</v>
      </c>
      <c r="B59" s="5" t="s">
        <v>2090</v>
      </c>
      <c r="C59" s="4" t="s">
        <v>146</v>
      </c>
      <c r="D59" s="4" t="s">
        <v>1144</v>
      </c>
      <c r="N59" s="5">
        <v>38.950000000000003</v>
      </c>
      <c r="Q59" s="5" t="str">
        <f>"3073781194753"</f>
        <v>3073781194753</v>
      </c>
    </row>
    <row r="60" spans="1:17" x14ac:dyDescent="0.3">
      <c r="A60" s="6" t="s">
        <v>2158</v>
      </c>
      <c r="B60" s="5" t="s">
        <v>2090</v>
      </c>
      <c r="C60" s="4" t="s">
        <v>147</v>
      </c>
      <c r="D60" s="4" t="s">
        <v>1145</v>
      </c>
      <c r="N60" s="5">
        <v>7</v>
      </c>
      <c r="Q60" s="5" t="str">
        <f>"6281007032261"</f>
        <v>6281007032261</v>
      </c>
    </row>
    <row r="61" spans="1:17" x14ac:dyDescent="0.3">
      <c r="A61" s="6" t="s">
        <v>2159</v>
      </c>
      <c r="B61" s="5" t="s">
        <v>2090</v>
      </c>
      <c r="C61" s="4" t="s">
        <v>148</v>
      </c>
      <c r="D61" s="4" t="s">
        <v>1146</v>
      </c>
      <c r="N61" s="5">
        <v>13.25</v>
      </c>
      <c r="Q61" s="5" t="str">
        <f>"6281007031264"</f>
        <v>6281007031264</v>
      </c>
    </row>
    <row r="62" spans="1:17" x14ac:dyDescent="0.3">
      <c r="A62" s="6" t="s">
        <v>2160</v>
      </c>
      <c r="B62" s="5" t="s">
        <v>2090</v>
      </c>
      <c r="C62" s="4" t="s">
        <v>149</v>
      </c>
      <c r="D62" s="4" t="s">
        <v>1147</v>
      </c>
      <c r="N62" s="5">
        <v>38.950000000000003</v>
      </c>
      <c r="Q62" s="5" t="str">
        <f>"6084012090536"</f>
        <v>6084012090536</v>
      </c>
    </row>
    <row r="63" spans="1:17" x14ac:dyDescent="0.3">
      <c r="A63" s="6" t="s">
        <v>2161</v>
      </c>
      <c r="B63" s="5" t="s">
        <v>2090</v>
      </c>
      <c r="C63" s="4" t="s">
        <v>150</v>
      </c>
      <c r="D63" s="4" t="s">
        <v>1148</v>
      </c>
      <c r="N63" s="5">
        <v>40.75</v>
      </c>
      <c r="Q63" s="5" t="str">
        <f>"6281048109335"</f>
        <v>6281048109335</v>
      </c>
    </row>
    <row r="64" spans="1:17" x14ac:dyDescent="0.3">
      <c r="A64" s="6" t="s">
        <v>2162</v>
      </c>
      <c r="B64" s="5" t="s">
        <v>2090</v>
      </c>
      <c r="C64" s="4" t="s">
        <v>151</v>
      </c>
      <c r="D64" s="4" t="s">
        <v>1149</v>
      </c>
      <c r="N64" s="5">
        <v>54.95</v>
      </c>
      <c r="Q64" s="5" t="str">
        <f>"2140306000002"</f>
        <v>2140306000002</v>
      </c>
    </row>
    <row r="65" spans="1:17" x14ac:dyDescent="0.3">
      <c r="A65" s="6" t="s">
        <v>2163</v>
      </c>
      <c r="B65" s="5" t="s">
        <v>2090</v>
      </c>
      <c r="C65" s="4" t="s">
        <v>152</v>
      </c>
      <c r="D65" s="4" t="s">
        <v>1150</v>
      </c>
      <c r="N65" s="5">
        <v>35.5</v>
      </c>
      <c r="Q65" s="5" t="str">
        <f>"6281024116166"</f>
        <v>6281024116166</v>
      </c>
    </row>
    <row r="66" spans="1:17" x14ac:dyDescent="0.3">
      <c r="A66" s="6" t="s">
        <v>2164</v>
      </c>
      <c r="B66" s="5" t="s">
        <v>2090</v>
      </c>
      <c r="C66" s="4" t="s">
        <v>153</v>
      </c>
      <c r="D66" s="4" t="s">
        <v>1151</v>
      </c>
      <c r="N66" s="5">
        <v>30.95</v>
      </c>
      <c r="Q66" s="5" t="str">
        <f>"3560070046478"</f>
        <v>3560070046478</v>
      </c>
    </row>
    <row r="67" spans="1:17" x14ac:dyDescent="0.3">
      <c r="A67" s="6" t="s">
        <v>2165</v>
      </c>
      <c r="B67" s="5" t="s">
        <v>2090</v>
      </c>
      <c r="C67" s="4" t="s">
        <v>154</v>
      </c>
      <c r="D67" s="4" t="s">
        <v>1152</v>
      </c>
      <c r="N67" s="5">
        <v>18.5</v>
      </c>
      <c r="Q67" s="5" t="str">
        <f>"6281007033053"</f>
        <v>6281007033053</v>
      </c>
    </row>
    <row r="68" spans="1:17" x14ac:dyDescent="0.3">
      <c r="A68" s="6" t="s">
        <v>2166</v>
      </c>
      <c r="B68" s="5" t="s">
        <v>2090</v>
      </c>
      <c r="C68" s="4" t="s">
        <v>155</v>
      </c>
      <c r="D68" s="4" t="s">
        <v>1153</v>
      </c>
      <c r="N68" s="5">
        <v>24.75</v>
      </c>
      <c r="Q68" s="5" t="str">
        <f>"6287004520404"</f>
        <v>6287004520404</v>
      </c>
    </row>
    <row r="69" spans="1:17" x14ac:dyDescent="0.3">
      <c r="A69" s="6" t="s">
        <v>2167</v>
      </c>
      <c r="B69" s="5" t="s">
        <v>2090</v>
      </c>
      <c r="C69" s="4" t="s">
        <v>156</v>
      </c>
      <c r="D69" s="4" t="s">
        <v>1154</v>
      </c>
      <c r="N69" s="5">
        <v>15.95</v>
      </c>
      <c r="Q69" s="5" t="str">
        <f>"5740900403543"</f>
        <v>5740900403543</v>
      </c>
    </row>
    <row r="70" spans="1:17" x14ac:dyDescent="0.3">
      <c r="A70" s="6" t="s">
        <v>2168</v>
      </c>
      <c r="B70" s="5" t="s">
        <v>2090</v>
      </c>
      <c r="C70" s="4" t="s">
        <v>157</v>
      </c>
      <c r="D70" s="4" t="s">
        <v>1155</v>
      </c>
      <c r="N70" s="5">
        <v>16.75</v>
      </c>
      <c r="Q70" s="5" t="str">
        <f>"3228021060460"</f>
        <v>3228021060460</v>
      </c>
    </row>
    <row r="71" spans="1:17" x14ac:dyDescent="0.3">
      <c r="A71" s="6" t="s">
        <v>2169</v>
      </c>
      <c r="B71" s="5" t="s">
        <v>2090</v>
      </c>
      <c r="C71" s="4" t="s">
        <v>158</v>
      </c>
      <c r="D71" s="4" t="s">
        <v>1156</v>
      </c>
      <c r="N71" s="5">
        <v>82.95</v>
      </c>
      <c r="Q71" s="5" t="str">
        <f>"2140532000005"</f>
        <v>2140532000005</v>
      </c>
    </row>
    <row r="72" spans="1:17" x14ac:dyDescent="0.3">
      <c r="A72" s="6" t="s">
        <v>2170</v>
      </c>
      <c r="B72" s="5" t="s">
        <v>2090</v>
      </c>
      <c r="C72" s="4" t="s">
        <v>159</v>
      </c>
      <c r="D72" s="4" t="s">
        <v>1157</v>
      </c>
      <c r="N72" s="5">
        <v>19.95</v>
      </c>
      <c r="Q72" s="5" t="str">
        <f>"2140318000007"</f>
        <v>2140318000007</v>
      </c>
    </row>
    <row r="73" spans="1:17" x14ac:dyDescent="0.3">
      <c r="A73" s="6" t="s">
        <v>2171</v>
      </c>
      <c r="B73" s="5" t="s">
        <v>2090</v>
      </c>
      <c r="C73" s="4" t="s">
        <v>160</v>
      </c>
      <c r="D73" s="4" t="s">
        <v>1158</v>
      </c>
      <c r="N73" s="5">
        <v>16.25</v>
      </c>
      <c r="Q73" s="5" t="str">
        <f>"6281057006113"</f>
        <v>6281057006113</v>
      </c>
    </row>
    <row r="74" spans="1:17" x14ac:dyDescent="0.3">
      <c r="A74" s="6" t="s">
        <v>2172</v>
      </c>
      <c r="B74" s="5" t="s">
        <v>2090</v>
      </c>
      <c r="C74" s="4" t="s">
        <v>161</v>
      </c>
      <c r="D74" s="4" t="s">
        <v>1159</v>
      </c>
      <c r="N74" s="5">
        <v>74.95</v>
      </c>
      <c r="Q74" s="5" t="str">
        <f>"6281007032308"</f>
        <v>6281007032308</v>
      </c>
    </row>
    <row r="75" spans="1:17" x14ac:dyDescent="0.3">
      <c r="A75" s="6" t="s">
        <v>2173</v>
      </c>
      <c r="B75" s="5" t="s">
        <v>2090</v>
      </c>
      <c r="C75" s="4" t="s">
        <v>162</v>
      </c>
      <c r="D75" s="4" t="s">
        <v>1160</v>
      </c>
      <c r="N75" s="5">
        <v>15</v>
      </c>
      <c r="Q75" s="5" t="str">
        <f>"6281048108376"</f>
        <v>6281048108376</v>
      </c>
    </row>
    <row r="76" spans="1:17" x14ac:dyDescent="0.3">
      <c r="A76" s="6" t="s">
        <v>2174</v>
      </c>
      <c r="B76" s="5" t="s">
        <v>2090</v>
      </c>
      <c r="C76" s="4" t="s">
        <v>163</v>
      </c>
      <c r="D76" s="4" t="s">
        <v>1161</v>
      </c>
      <c r="N76" s="5">
        <v>9.5</v>
      </c>
      <c r="Q76" s="5" t="str">
        <f>"6281057007776"</f>
        <v>6281057007776</v>
      </c>
    </row>
    <row r="77" spans="1:17" x14ac:dyDescent="0.3">
      <c r="A77" s="6" t="s">
        <v>2175</v>
      </c>
      <c r="B77" s="5" t="s">
        <v>2090</v>
      </c>
      <c r="C77" s="4" t="s">
        <v>164</v>
      </c>
      <c r="D77" s="4" t="s">
        <v>1162</v>
      </c>
      <c r="N77" s="5">
        <v>4.75</v>
      </c>
      <c r="Q77" s="5" t="str">
        <f>"6084012090420"</f>
        <v>6084012090420</v>
      </c>
    </row>
    <row r="78" spans="1:17" x14ac:dyDescent="0.3">
      <c r="A78" s="6" t="s">
        <v>2176</v>
      </c>
      <c r="B78" s="5" t="s">
        <v>2090</v>
      </c>
      <c r="C78" s="4" t="s">
        <v>165</v>
      </c>
      <c r="D78" s="4" t="s">
        <v>1163</v>
      </c>
      <c r="N78" s="5">
        <v>33.950000000000003</v>
      </c>
      <c r="Q78" s="5" t="str">
        <f>"6281007045346"</f>
        <v>6281007045346</v>
      </c>
    </row>
    <row r="79" spans="1:17" x14ac:dyDescent="0.3">
      <c r="A79" s="6" t="s">
        <v>2177</v>
      </c>
      <c r="B79" s="5" t="s">
        <v>2090</v>
      </c>
      <c r="C79" s="4" t="s">
        <v>166</v>
      </c>
      <c r="D79" s="4" t="s">
        <v>1164</v>
      </c>
      <c r="N79" s="5">
        <v>7.25</v>
      </c>
      <c r="Q79" s="5" t="str">
        <f>"6281007056236"</f>
        <v>6281007056236</v>
      </c>
    </row>
    <row r="80" spans="1:17" x14ac:dyDescent="0.3">
      <c r="A80" s="6" t="s">
        <v>2178</v>
      </c>
      <c r="B80" s="5" t="s">
        <v>2090</v>
      </c>
      <c r="C80" s="4" t="s">
        <v>167</v>
      </c>
      <c r="D80" s="4" t="s">
        <v>1165</v>
      </c>
      <c r="N80" s="5">
        <v>7.25</v>
      </c>
      <c r="Q80" s="5" t="str">
        <f>"6281007037181"</f>
        <v>6281007037181</v>
      </c>
    </row>
    <row r="81" spans="1:17" x14ac:dyDescent="0.3">
      <c r="A81" s="6" t="s">
        <v>2179</v>
      </c>
      <c r="B81" s="5" t="s">
        <v>2090</v>
      </c>
      <c r="C81" s="4" t="s">
        <v>168</v>
      </c>
      <c r="D81" s="4" t="s">
        <v>1166</v>
      </c>
      <c r="N81" s="5">
        <v>41.95</v>
      </c>
      <c r="Q81" s="5" t="str">
        <f>"3270190026471"</f>
        <v>3270190026471</v>
      </c>
    </row>
    <row r="82" spans="1:17" x14ac:dyDescent="0.3">
      <c r="A82" s="6" t="s">
        <v>2180</v>
      </c>
      <c r="B82" s="5" t="s">
        <v>2090</v>
      </c>
      <c r="C82" s="4" t="s">
        <v>169</v>
      </c>
      <c r="D82" s="4" t="s">
        <v>1167</v>
      </c>
      <c r="N82" s="5">
        <v>11.95</v>
      </c>
      <c r="Q82" s="5" t="str">
        <f>"6281022118551"</f>
        <v>6281022118551</v>
      </c>
    </row>
    <row r="83" spans="1:17" x14ac:dyDescent="0.3">
      <c r="A83" s="6" t="s">
        <v>2181</v>
      </c>
      <c r="B83" s="5" t="s">
        <v>2090</v>
      </c>
      <c r="C83" s="4" t="s">
        <v>170</v>
      </c>
      <c r="D83" s="4" t="s">
        <v>1168</v>
      </c>
      <c r="N83" s="5">
        <v>12</v>
      </c>
      <c r="Q83" s="5" t="str">
        <f>"6281022130485"</f>
        <v>6281022130485</v>
      </c>
    </row>
    <row r="84" spans="1:17" x14ac:dyDescent="0.3">
      <c r="A84" s="6" t="s">
        <v>2182</v>
      </c>
      <c r="B84" s="5" t="s">
        <v>2090</v>
      </c>
      <c r="C84" s="4" t="s">
        <v>171</v>
      </c>
      <c r="D84" s="4" t="s">
        <v>1169</v>
      </c>
      <c r="N84" s="5">
        <v>24</v>
      </c>
      <c r="Q84" s="5" t="str">
        <f>"6281018322894"</f>
        <v>6281018322894</v>
      </c>
    </row>
    <row r="85" spans="1:17" x14ac:dyDescent="0.3">
      <c r="A85" s="6" t="s">
        <v>2183</v>
      </c>
      <c r="B85" s="5" t="s">
        <v>2090</v>
      </c>
      <c r="C85" s="4" t="s">
        <v>172</v>
      </c>
      <c r="D85" s="4" t="s">
        <v>1170</v>
      </c>
      <c r="N85" s="5">
        <v>21.95</v>
      </c>
      <c r="Q85" s="5" t="str">
        <f>"2143449000007"</f>
        <v>2143449000007</v>
      </c>
    </row>
    <row r="86" spans="1:17" x14ac:dyDescent="0.3">
      <c r="A86" s="6" t="s">
        <v>2184</v>
      </c>
      <c r="B86" s="5" t="s">
        <v>2090</v>
      </c>
      <c r="C86" s="4" t="s">
        <v>173</v>
      </c>
      <c r="D86" s="4" t="s">
        <v>1171</v>
      </c>
      <c r="N86" s="5">
        <v>5.95</v>
      </c>
      <c r="Q86" s="5" t="str">
        <f>"6281007071840"</f>
        <v>6281007071840</v>
      </c>
    </row>
    <row r="87" spans="1:17" x14ac:dyDescent="0.3">
      <c r="A87" s="6" t="s">
        <v>2185</v>
      </c>
      <c r="B87" s="5" t="s">
        <v>2090</v>
      </c>
      <c r="C87" s="4" t="s">
        <v>174</v>
      </c>
      <c r="D87" s="4" t="s">
        <v>1172</v>
      </c>
      <c r="N87" s="5">
        <v>29.95</v>
      </c>
      <c r="Q87" s="5" t="str">
        <f>"3560070338832"</f>
        <v>3560070338832</v>
      </c>
    </row>
    <row r="88" spans="1:17" x14ac:dyDescent="0.3">
      <c r="A88" s="6" t="s">
        <v>2186</v>
      </c>
      <c r="B88" s="5" t="s">
        <v>2090</v>
      </c>
      <c r="C88" s="4" t="s">
        <v>175</v>
      </c>
      <c r="D88" s="4" t="s">
        <v>1173</v>
      </c>
      <c r="N88" s="5">
        <v>27.95</v>
      </c>
      <c r="Q88" s="5" t="str">
        <f>"5740900403574"</f>
        <v>5740900403574</v>
      </c>
    </row>
    <row r="89" spans="1:17" x14ac:dyDescent="0.3">
      <c r="A89" s="6" t="s">
        <v>2187</v>
      </c>
      <c r="B89" s="5" t="s">
        <v>2090</v>
      </c>
      <c r="C89" s="4" t="s">
        <v>176</v>
      </c>
      <c r="D89" s="4" t="s">
        <v>1174</v>
      </c>
      <c r="N89" s="5">
        <v>30.5</v>
      </c>
      <c r="Q89" s="5" t="str">
        <f>"6084012090505"</f>
        <v>6084012090505</v>
      </c>
    </row>
    <row r="90" spans="1:17" x14ac:dyDescent="0.3">
      <c r="A90" s="6" t="s">
        <v>2188</v>
      </c>
      <c r="B90" s="5" t="s">
        <v>2090</v>
      </c>
      <c r="C90" s="4" t="s">
        <v>177</v>
      </c>
      <c r="D90" s="4" t="s">
        <v>1175</v>
      </c>
      <c r="N90" s="5">
        <v>31.25</v>
      </c>
      <c r="Q90" s="5" t="str">
        <f>"5711953001406"</f>
        <v>5711953001406</v>
      </c>
    </row>
    <row r="91" spans="1:17" x14ac:dyDescent="0.3">
      <c r="A91" s="6" t="s">
        <v>2189</v>
      </c>
      <c r="B91" s="5" t="s">
        <v>2090</v>
      </c>
      <c r="C91" s="4" t="s">
        <v>178</v>
      </c>
      <c r="D91" s="4" t="s">
        <v>1176</v>
      </c>
      <c r="N91" s="5">
        <v>82.95</v>
      </c>
      <c r="Q91" s="5" t="str">
        <f>"5000224026386"</f>
        <v>5000224026386</v>
      </c>
    </row>
    <row r="92" spans="1:17" x14ac:dyDescent="0.3">
      <c r="A92" s="6" t="s">
        <v>2190</v>
      </c>
      <c r="B92" s="5" t="s">
        <v>2090</v>
      </c>
      <c r="C92" s="4" t="s">
        <v>179</v>
      </c>
      <c r="D92" s="4" t="s">
        <v>1177</v>
      </c>
      <c r="N92" s="5">
        <v>7.25</v>
      </c>
      <c r="Q92" s="5" t="str">
        <f>"6281007059565"</f>
        <v>6281007059565</v>
      </c>
    </row>
    <row r="93" spans="1:17" x14ac:dyDescent="0.3">
      <c r="A93" s="6" t="s">
        <v>2191</v>
      </c>
      <c r="B93" s="5" t="s">
        <v>2090</v>
      </c>
      <c r="C93" s="4" t="s">
        <v>180</v>
      </c>
      <c r="D93" s="4" t="s">
        <v>1178</v>
      </c>
      <c r="N93" s="5">
        <v>12</v>
      </c>
      <c r="Q93" s="5" t="str">
        <f>"6281022130492"</f>
        <v>6281022130492</v>
      </c>
    </row>
    <row r="94" spans="1:17" x14ac:dyDescent="0.3">
      <c r="A94" s="6" t="s">
        <v>2192</v>
      </c>
      <c r="B94" s="5" t="s">
        <v>2090</v>
      </c>
      <c r="C94" s="4" t="s">
        <v>181</v>
      </c>
      <c r="D94" s="4" t="s">
        <v>1179</v>
      </c>
      <c r="N94" s="5">
        <v>29.95</v>
      </c>
      <c r="Q94" s="5" t="str">
        <f>"3560070100453"</f>
        <v>3560070100453</v>
      </c>
    </row>
    <row r="95" spans="1:17" x14ac:dyDescent="0.3">
      <c r="A95" s="6" t="s">
        <v>2193</v>
      </c>
      <c r="B95" s="5" t="s">
        <v>2090</v>
      </c>
      <c r="C95" s="4" t="s">
        <v>182</v>
      </c>
      <c r="D95" s="4" t="s">
        <v>1180</v>
      </c>
      <c r="N95" s="5">
        <v>28</v>
      </c>
      <c r="Q95" s="5" t="str">
        <f>"5411188119753"</f>
        <v>5411188119753</v>
      </c>
    </row>
    <row r="96" spans="1:17" x14ac:dyDescent="0.3">
      <c r="A96" s="6" t="s">
        <v>2194</v>
      </c>
      <c r="B96" s="5" t="s">
        <v>2090</v>
      </c>
      <c r="C96" s="4" t="s">
        <v>183</v>
      </c>
      <c r="D96" s="4" t="s">
        <v>1181</v>
      </c>
      <c r="N96" s="5">
        <v>17.95</v>
      </c>
      <c r="Q96" s="5" t="str">
        <f>"7622210624697"</f>
        <v>7622210624697</v>
      </c>
    </row>
    <row r="97" spans="1:17" x14ac:dyDescent="0.3">
      <c r="A97" s="6" t="s">
        <v>2195</v>
      </c>
      <c r="B97" s="5" t="s">
        <v>2090</v>
      </c>
      <c r="C97" s="4" t="s">
        <v>184</v>
      </c>
      <c r="D97" s="4" t="s">
        <v>1182</v>
      </c>
      <c r="N97" s="5">
        <v>65.95</v>
      </c>
      <c r="Q97" s="5" t="str">
        <f>"2140547000007"</f>
        <v>2140547000007</v>
      </c>
    </row>
    <row r="98" spans="1:17" x14ac:dyDescent="0.3">
      <c r="A98" s="6" t="s">
        <v>2196</v>
      </c>
      <c r="B98" s="5" t="s">
        <v>2090</v>
      </c>
      <c r="C98" s="4" t="s">
        <v>185</v>
      </c>
      <c r="D98" s="4" t="s">
        <v>1183</v>
      </c>
      <c r="N98" s="5">
        <v>24</v>
      </c>
      <c r="Q98" s="5" t="str">
        <f>"6281018322795"</f>
        <v>6281018322795</v>
      </c>
    </row>
    <row r="99" spans="1:17" x14ac:dyDescent="0.3">
      <c r="A99" s="6" t="s">
        <v>2197</v>
      </c>
      <c r="B99" s="5" t="s">
        <v>2090</v>
      </c>
      <c r="C99" s="4" t="s">
        <v>186</v>
      </c>
      <c r="D99" s="4" t="s">
        <v>1184</v>
      </c>
      <c r="N99" s="5">
        <v>2</v>
      </c>
      <c r="Q99" s="5" t="str">
        <f>"6281007023221"</f>
        <v>6281007023221</v>
      </c>
    </row>
    <row r="100" spans="1:17" x14ac:dyDescent="0.3">
      <c r="A100" s="6" t="s">
        <v>2198</v>
      </c>
      <c r="B100" s="5" t="s">
        <v>2090</v>
      </c>
      <c r="C100" s="4" t="s">
        <v>187</v>
      </c>
      <c r="D100" s="4" t="s">
        <v>1185</v>
      </c>
      <c r="N100" s="5">
        <v>26.95</v>
      </c>
      <c r="Q100" s="5" t="str">
        <f>"7622210624918"</f>
        <v>7622210624918</v>
      </c>
    </row>
    <row r="101" spans="1:17" x14ac:dyDescent="0.3">
      <c r="A101" s="6" t="s">
        <v>2199</v>
      </c>
      <c r="B101" s="5" t="s">
        <v>2090</v>
      </c>
      <c r="C101" s="4" t="s">
        <v>188</v>
      </c>
      <c r="D101" s="4" t="s">
        <v>1186</v>
      </c>
      <c r="N101" s="5">
        <v>2.2000000000000002</v>
      </c>
      <c r="Q101" s="5" t="str">
        <f>"6281007049207"</f>
        <v>6281007049207</v>
      </c>
    </row>
    <row r="102" spans="1:17" x14ac:dyDescent="0.3">
      <c r="A102" s="6" t="s">
        <v>2200</v>
      </c>
      <c r="B102" s="5" t="s">
        <v>2090</v>
      </c>
      <c r="C102" s="4" t="s">
        <v>189</v>
      </c>
      <c r="D102" s="4" t="s">
        <v>1187</v>
      </c>
      <c r="N102" s="5">
        <v>68.95</v>
      </c>
      <c r="Q102" s="5" t="str">
        <f>"3560070930036"</f>
        <v>3560070930036</v>
      </c>
    </row>
    <row r="103" spans="1:17" x14ac:dyDescent="0.3">
      <c r="A103" s="6" t="s">
        <v>2201</v>
      </c>
      <c r="B103" s="5" t="s">
        <v>2090</v>
      </c>
      <c r="C103" s="4" t="s">
        <v>190</v>
      </c>
      <c r="D103" s="4" t="s">
        <v>1188</v>
      </c>
      <c r="N103" s="5">
        <v>35.5</v>
      </c>
      <c r="Q103" s="5" t="str">
        <f>"6281024116463"</f>
        <v>6281024116463</v>
      </c>
    </row>
    <row r="104" spans="1:17" x14ac:dyDescent="0.3">
      <c r="A104" s="6" t="s">
        <v>2202</v>
      </c>
      <c r="B104" s="5" t="s">
        <v>2090</v>
      </c>
      <c r="C104" s="4" t="s">
        <v>191</v>
      </c>
      <c r="D104" s="4" t="s">
        <v>1189</v>
      </c>
      <c r="N104" s="5">
        <v>11.25</v>
      </c>
      <c r="Q104" s="5" t="str">
        <f>"6281007169004"</f>
        <v>6281007169004</v>
      </c>
    </row>
    <row r="105" spans="1:17" x14ac:dyDescent="0.3">
      <c r="A105" s="6" t="s">
        <v>2203</v>
      </c>
      <c r="B105" s="5" t="s">
        <v>2090</v>
      </c>
      <c r="C105" s="4" t="s">
        <v>192</v>
      </c>
      <c r="D105" s="4" t="s">
        <v>1190</v>
      </c>
      <c r="N105" s="5">
        <v>7</v>
      </c>
      <c r="Q105" s="5" t="str">
        <f>"5711953030611"</f>
        <v>5711953030611</v>
      </c>
    </row>
    <row r="106" spans="1:17" x14ac:dyDescent="0.3">
      <c r="A106" s="6" t="s">
        <v>2204</v>
      </c>
      <c r="B106" s="5" t="s">
        <v>2090</v>
      </c>
      <c r="C106" s="4" t="s">
        <v>193</v>
      </c>
      <c r="D106" s="4" t="s">
        <v>1191</v>
      </c>
      <c r="N106" s="5">
        <v>54.95</v>
      </c>
      <c r="Q106" s="5" t="str">
        <f>"5740900806504"</f>
        <v>5740900806504</v>
      </c>
    </row>
    <row r="107" spans="1:17" x14ac:dyDescent="0.3">
      <c r="A107" s="6" t="s">
        <v>2205</v>
      </c>
      <c r="B107" s="5" t="s">
        <v>2090</v>
      </c>
      <c r="C107" s="4" t="s">
        <v>194</v>
      </c>
      <c r="D107" s="4" t="s">
        <v>1192</v>
      </c>
      <c r="N107" s="5">
        <v>49.95</v>
      </c>
      <c r="Q107" s="5" t="str">
        <f>"6281048100721"</f>
        <v>6281048100721</v>
      </c>
    </row>
    <row r="108" spans="1:17" x14ac:dyDescent="0.3">
      <c r="A108" s="6" t="s">
        <v>2206</v>
      </c>
      <c r="B108" s="5" t="s">
        <v>2090</v>
      </c>
      <c r="C108" s="4" t="s">
        <v>195</v>
      </c>
      <c r="D108" s="4" t="s">
        <v>1193</v>
      </c>
      <c r="N108" s="5">
        <v>10</v>
      </c>
      <c r="Q108" s="5" t="str">
        <f>"6281018130246"</f>
        <v>6281018130246</v>
      </c>
    </row>
    <row r="109" spans="1:17" x14ac:dyDescent="0.3">
      <c r="A109" s="6" t="s">
        <v>2207</v>
      </c>
      <c r="B109" s="5" t="s">
        <v>2090</v>
      </c>
      <c r="C109" s="4" t="s">
        <v>196</v>
      </c>
      <c r="D109" s="4" t="s">
        <v>1194</v>
      </c>
      <c r="N109" s="5">
        <v>16.5</v>
      </c>
      <c r="Q109" s="5" t="str">
        <f>"6281007042765"</f>
        <v>6281007042765</v>
      </c>
    </row>
    <row r="110" spans="1:17" x14ac:dyDescent="0.3">
      <c r="A110" s="6" t="s">
        <v>2208</v>
      </c>
      <c r="B110" s="5" t="s">
        <v>2090</v>
      </c>
      <c r="C110" s="4" t="s">
        <v>197</v>
      </c>
      <c r="D110" s="4" t="s">
        <v>1195</v>
      </c>
      <c r="N110" s="5">
        <v>13.5</v>
      </c>
      <c r="Q110" s="5" t="str">
        <f>"6281007063050"</f>
        <v>6281007063050</v>
      </c>
    </row>
    <row r="111" spans="1:17" x14ac:dyDescent="0.3">
      <c r="A111" s="6" t="s">
        <v>2209</v>
      </c>
      <c r="B111" s="5" t="s">
        <v>2090</v>
      </c>
      <c r="C111" s="4" t="s">
        <v>198</v>
      </c>
      <c r="D111" s="4" t="s">
        <v>1196</v>
      </c>
      <c r="N111" s="5">
        <v>76.95</v>
      </c>
      <c r="Q111" s="5" t="str">
        <f>"2140399000002"</f>
        <v>2140399000002</v>
      </c>
    </row>
    <row r="112" spans="1:17" x14ac:dyDescent="0.3">
      <c r="A112" s="6" t="s">
        <v>2210</v>
      </c>
      <c r="B112" s="5" t="s">
        <v>2090</v>
      </c>
      <c r="C112" s="4" t="s">
        <v>199</v>
      </c>
      <c r="D112" s="4" t="s">
        <v>1197</v>
      </c>
      <c r="N112" s="5">
        <v>35.5</v>
      </c>
      <c r="Q112" s="5" t="str">
        <f>"6281024110706"</f>
        <v>6281024110706</v>
      </c>
    </row>
    <row r="113" spans="1:17" x14ac:dyDescent="0.3">
      <c r="A113" s="6" t="s">
        <v>2211</v>
      </c>
      <c r="B113" s="5" t="s">
        <v>2090</v>
      </c>
      <c r="C113" s="4" t="s">
        <v>200</v>
      </c>
      <c r="D113" s="4" t="s">
        <v>1198</v>
      </c>
      <c r="N113" s="5">
        <v>14</v>
      </c>
      <c r="Q113" s="5" t="str">
        <f>"6281022107289"</f>
        <v>6281022107289</v>
      </c>
    </row>
    <row r="114" spans="1:17" x14ac:dyDescent="0.3">
      <c r="A114" s="6" t="s">
        <v>2212</v>
      </c>
      <c r="B114" s="5" t="s">
        <v>2090</v>
      </c>
      <c r="C114" s="4" t="s">
        <v>201</v>
      </c>
      <c r="D114" s="4" t="s">
        <v>1199</v>
      </c>
      <c r="N114" s="5">
        <v>19.95</v>
      </c>
      <c r="Q114" s="5" t="str">
        <f>"3245414117259"</f>
        <v>3245414117259</v>
      </c>
    </row>
    <row r="115" spans="1:17" x14ac:dyDescent="0.3">
      <c r="A115" s="6" t="s">
        <v>2213</v>
      </c>
      <c r="B115" s="5" t="s">
        <v>2090</v>
      </c>
      <c r="C115" s="4" t="s">
        <v>202</v>
      </c>
      <c r="D115" s="4" t="s">
        <v>1200</v>
      </c>
      <c r="N115" s="5">
        <v>13.25</v>
      </c>
      <c r="Q115" s="5" t="str">
        <f>"8692971032573"</f>
        <v>8692971032573</v>
      </c>
    </row>
    <row r="116" spans="1:17" x14ac:dyDescent="0.3">
      <c r="A116" s="6" t="s">
        <v>2214</v>
      </c>
      <c r="B116" s="5" t="s">
        <v>2090</v>
      </c>
      <c r="C116" s="4" t="s">
        <v>203</v>
      </c>
      <c r="D116" s="4" t="s">
        <v>1201</v>
      </c>
      <c r="N116" s="5">
        <v>5.5</v>
      </c>
      <c r="Q116" s="5" t="str">
        <f>"6287004520350"</f>
        <v>6287004520350</v>
      </c>
    </row>
    <row r="117" spans="1:17" x14ac:dyDescent="0.3">
      <c r="A117" s="6" t="s">
        <v>2215</v>
      </c>
      <c r="B117" s="5" t="s">
        <v>2090</v>
      </c>
      <c r="C117" s="4" t="s">
        <v>1088</v>
      </c>
      <c r="D117" s="4" t="s">
        <v>1202</v>
      </c>
      <c r="N117" s="5">
        <v>18.5</v>
      </c>
      <c r="Q117" s="5" t="str">
        <f>"3073781119701"</f>
        <v>3073781119701</v>
      </c>
    </row>
    <row r="118" spans="1:17" x14ac:dyDescent="0.3">
      <c r="A118" s="6" t="s">
        <v>2216</v>
      </c>
      <c r="B118" s="5" t="s">
        <v>2090</v>
      </c>
      <c r="C118" s="4" t="s">
        <v>204</v>
      </c>
      <c r="D118" s="4" t="s">
        <v>1203</v>
      </c>
      <c r="N118" s="5">
        <v>11.25</v>
      </c>
      <c r="Q118" s="5" t="str">
        <f>"6281007036078"</f>
        <v>6281007036078</v>
      </c>
    </row>
    <row r="119" spans="1:17" x14ac:dyDescent="0.3">
      <c r="A119" s="6" t="s">
        <v>2217</v>
      </c>
      <c r="B119" s="5" t="s">
        <v>2090</v>
      </c>
      <c r="C119" s="4" t="s">
        <v>205</v>
      </c>
      <c r="D119" s="4" t="s">
        <v>1204</v>
      </c>
      <c r="N119" s="5">
        <v>26.95</v>
      </c>
      <c r="Q119" s="5" t="str">
        <f>"6281007046244"</f>
        <v>6281007046244</v>
      </c>
    </row>
    <row r="120" spans="1:17" x14ac:dyDescent="0.3">
      <c r="A120" s="6" t="s">
        <v>2218</v>
      </c>
      <c r="B120" s="5" t="s">
        <v>2090</v>
      </c>
      <c r="C120" s="4" t="s">
        <v>206</v>
      </c>
      <c r="D120" s="4" t="s">
        <v>1205</v>
      </c>
      <c r="N120" s="5">
        <v>17.25</v>
      </c>
      <c r="Q120" s="5" t="str">
        <f>"6287004520343"</f>
        <v>6287004520343</v>
      </c>
    </row>
    <row r="121" spans="1:17" x14ac:dyDescent="0.3">
      <c r="A121" s="6" t="s">
        <v>2219</v>
      </c>
      <c r="B121" s="5" t="s">
        <v>2090</v>
      </c>
      <c r="C121" s="4" t="s">
        <v>207</v>
      </c>
      <c r="D121" s="4" t="s">
        <v>1206</v>
      </c>
      <c r="N121" s="5">
        <v>36.950000000000003</v>
      </c>
      <c r="Q121" s="5" t="str">
        <f>"3560070179886"</f>
        <v>3560070179886</v>
      </c>
    </row>
    <row r="122" spans="1:17" x14ac:dyDescent="0.3">
      <c r="A122" s="6" t="s">
        <v>2220</v>
      </c>
      <c r="B122" s="5" t="s">
        <v>2090</v>
      </c>
      <c r="C122" s="4" t="s">
        <v>208</v>
      </c>
      <c r="D122" s="4" t="s">
        <v>1207</v>
      </c>
      <c r="N122" s="5">
        <v>76.95</v>
      </c>
      <c r="Q122" s="5" t="str">
        <f>"2140407000000"</f>
        <v>2140407000000</v>
      </c>
    </row>
    <row r="123" spans="1:17" x14ac:dyDescent="0.3">
      <c r="A123" s="6" t="s">
        <v>2221</v>
      </c>
      <c r="B123" s="5" t="s">
        <v>2090</v>
      </c>
      <c r="C123" s="4" t="s">
        <v>209</v>
      </c>
      <c r="D123" s="4" t="s">
        <v>1208</v>
      </c>
      <c r="N123" s="5">
        <v>7.95</v>
      </c>
      <c r="Q123" s="5" t="str">
        <f>"6281048108352"</f>
        <v>6281048108352</v>
      </c>
    </row>
    <row r="124" spans="1:17" x14ac:dyDescent="0.3">
      <c r="A124" s="6" t="s">
        <v>2222</v>
      </c>
      <c r="B124" s="5" t="s">
        <v>2090</v>
      </c>
      <c r="C124" s="4" t="s">
        <v>210</v>
      </c>
      <c r="D124" s="4" t="s">
        <v>1209</v>
      </c>
      <c r="N124" s="5">
        <v>11</v>
      </c>
      <c r="Q124" s="5" t="str">
        <f>"6281022110227"</f>
        <v>6281022110227</v>
      </c>
    </row>
    <row r="125" spans="1:17" x14ac:dyDescent="0.3">
      <c r="A125" s="6" t="s">
        <v>2223</v>
      </c>
      <c r="B125" s="5" t="s">
        <v>2090</v>
      </c>
      <c r="C125" s="4" t="s">
        <v>211</v>
      </c>
      <c r="D125" s="4" t="s">
        <v>1210</v>
      </c>
      <c r="N125" s="5">
        <v>17</v>
      </c>
      <c r="Q125" s="5" t="str">
        <f>"6281057007318"</f>
        <v>6281057007318</v>
      </c>
    </row>
    <row r="126" spans="1:17" x14ac:dyDescent="0.3">
      <c r="A126" s="6" t="s">
        <v>2224</v>
      </c>
      <c r="B126" s="5" t="s">
        <v>2090</v>
      </c>
      <c r="C126" s="4" t="s">
        <v>212</v>
      </c>
      <c r="D126" s="4" t="s">
        <v>1211</v>
      </c>
      <c r="N126" s="5">
        <v>27.95</v>
      </c>
      <c r="Q126" s="5" t="str">
        <f>"3245412730764"</f>
        <v>3245412730764</v>
      </c>
    </row>
    <row r="127" spans="1:17" x14ac:dyDescent="0.3">
      <c r="A127" s="6" t="s">
        <v>2225</v>
      </c>
      <c r="B127" s="5" t="s">
        <v>2090</v>
      </c>
      <c r="C127" s="4" t="s">
        <v>213</v>
      </c>
      <c r="D127" s="4" t="s">
        <v>1212</v>
      </c>
      <c r="N127" s="5">
        <v>12.25</v>
      </c>
      <c r="Q127" s="5" t="str">
        <f>"6281039100914"</f>
        <v>6281039100914</v>
      </c>
    </row>
    <row r="128" spans="1:17" x14ac:dyDescent="0.3">
      <c r="A128" s="6" t="s">
        <v>2226</v>
      </c>
      <c r="B128" s="5" t="s">
        <v>2090</v>
      </c>
      <c r="C128" s="4" t="s">
        <v>214</v>
      </c>
      <c r="D128" s="4" t="s">
        <v>1213</v>
      </c>
      <c r="N128" s="5">
        <v>18.95</v>
      </c>
      <c r="Q128" s="5" t="str">
        <f>"3245412730917"</f>
        <v>3245412730917</v>
      </c>
    </row>
    <row r="129" spans="1:17" x14ac:dyDescent="0.3">
      <c r="A129" s="6" t="s">
        <v>2227</v>
      </c>
      <c r="B129" s="5" t="s">
        <v>2090</v>
      </c>
      <c r="C129" s="4" t="s">
        <v>215</v>
      </c>
      <c r="D129" s="4" t="s">
        <v>1214</v>
      </c>
      <c r="N129" s="5">
        <v>15.75</v>
      </c>
      <c r="Q129" s="5" t="str">
        <f>"6281100502494"</f>
        <v>6281100502494</v>
      </c>
    </row>
    <row r="130" spans="1:17" x14ac:dyDescent="0.3">
      <c r="A130" s="6" t="s">
        <v>2228</v>
      </c>
      <c r="B130" s="5" t="s">
        <v>2090</v>
      </c>
      <c r="C130" s="4" t="s">
        <v>216</v>
      </c>
      <c r="D130" s="4" t="s">
        <v>1215</v>
      </c>
      <c r="N130" s="5">
        <v>13.95</v>
      </c>
      <c r="Q130" s="5" t="str">
        <f>"2141015000000"</f>
        <v>2141015000000</v>
      </c>
    </row>
    <row r="131" spans="1:17" x14ac:dyDescent="0.3">
      <c r="A131" s="6" t="s">
        <v>2229</v>
      </c>
      <c r="B131" s="5" t="s">
        <v>2090</v>
      </c>
      <c r="C131" s="4" t="s">
        <v>217</v>
      </c>
      <c r="D131" s="4" t="s">
        <v>1216</v>
      </c>
      <c r="N131" s="5">
        <v>14.5</v>
      </c>
      <c r="Q131" s="5" t="str">
        <f>"6281018110323"</f>
        <v>6281018110323</v>
      </c>
    </row>
    <row r="132" spans="1:17" x14ac:dyDescent="0.3">
      <c r="A132" s="6" t="s">
        <v>2230</v>
      </c>
      <c r="B132" s="5" t="s">
        <v>2090</v>
      </c>
      <c r="C132" s="4" t="s">
        <v>218</v>
      </c>
      <c r="D132" s="4" t="s">
        <v>1217</v>
      </c>
      <c r="N132" s="5">
        <v>29.95</v>
      </c>
      <c r="Q132" s="5" t="str">
        <f>"3560070971572"</f>
        <v>3560070971572</v>
      </c>
    </row>
    <row r="133" spans="1:17" x14ac:dyDescent="0.3">
      <c r="A133" s="6" t="s">
        <v>2231</v>
      </c>
      <c r="B133" s="5" t="s">
        <v>2090</v>
      </c>
      <c r="C133" s="4" t="s">
        <v>219</v>
      </c>
      <c r="D133" s="4" t="s">
        <v>1218</v>
      </c>
      <c r="N133" s="5">
        <v>27.25</v>
      </c>
      <c r="Q133" s="5" t="str">
        <f>"6287004520428"</f>
        <v>6287004520428</v>
      </c>
    </row>
    <row r="134" spans="1:17" x14ac:dyDescent="0.3">
      <c r="A134" s="6" t="s">
        <v>2232</v>
      </c>
      <c r="B134" s="5" t="s">
        <v>2090</v>
      </c>
      <c r="C134" s="4" t="s">
        <v>220</v>
      </c>
      <c r="D134" s="4" t="s">
        <v>1219</v>
      </c>
      <c r="N134" s="5">
        <v>28.95</v>
      </c>
      <c r="Q134" s="5" t="str">
        <f>"6084012090703"</f>
        <v>6084012090703</v>
      </c>
    </row>
    <row r="135" spans="1:17" x14ac:dyDescent="0.3">
      <c r="A135" s="6" t="s">
        <v>2233</v>
      </c>
      <c r="B135" s="5" t="s">
        <v>2090</v>
      </c>
      <c r="C135" s="4" t="s">
        <v>221</v>
      </c>
      <c r="D135" s="4" t="s">
        <v>1220</v>
      </c>
      <c r="N135" s="5">
        <v>12</v>
      </c>
      <c r="Q135" s="5" t="str">
        <f>"6281007184489"</f>
        <v>6281007184489</v>
      </c>
    </row>
    <row r="136" spans="1:17" x14ac:dyDescent="0.3">
      <c r="A136" s="6" t="s">
        <v>2234</v>
      </c>
      <c r="B136" s="5" t="s">
        <v>2090</v>
      </c>
      <c r="C136" s="4" t="s">
        <v>222</v>
      </c>
      <c r="D136" s="4" t="s">
        <v>1221</v>
      </c>
      <c r="N136" s="5">
        <v>24</v>
      </c>
      <c r="Q136" s="5" t="str">
        <f>"6281057007042"</f>
        <v>6281057007042</v>
      </c>
    </row>
    <row r="137" spans="1:17" x14ac:dyDescent="0.3">
      <c r="A137" s="6" t="s">
        <v>2235</v>
      </c>
      <c r="B137" s="5" t="s">
        <v>2090</v>
      </c>
      <c r="C137" s="4" t="s">
        <v>223</v>
      </c>
      <c r="D137" s="4" t="s">
        <v>1222</v>
      </c>
      <c r="N137" s="5">
        <v>80.95</v>
      </c>
      <c r="Q137" s="5" t="str">
        <f>"3270190207702"</f>
        <v>3270190207702</v>
      </c>
    </row>
    <row r="138" spans="1:17" x14ac:dyDescent="0.3">
      <c r="A138" s="6" t="s">
        <v>2236</v>
      </c>
      <c r="B138" s="5" t="s">
        <v>2090</v>
      </c>
      <c r="C138" s="4" t="s">
        <v>224</v>
      </c>
      <c r="D138" s="4" t="s">
        <v>1223</v>
      </c>
      <c r="N138" s="5">
        <v>31.95</v>
      </c>
      <c r="Q138" s="5" t="str">
        <f>"3560070506491"</f>
        <v>3560070506491</v>
      </c>
    </row>
    <row r="139" spans="1:17" x14ac:dyDescent="0.3">
      <c r="A139" s="6" t="s">
        <v>2237</v>
      </c>
      <c r="B139" s="5" t="s">
        <v>2090</v>
      </c>
      <c r="C139" s="4" t="s">
        <v>225</v>
      </c>
      <c r="D139" s="4" t="s">
        <v>1224</v>
      </c>
      <c r="N139" s="5">
        <v>5.95</v>
      </c>
      <c r="Q139" s="5" t="str">
        <f>"6281022126914"</f>
        <v>6281022126914</v>
      </c>
    </row>
    <row r="140" spans="1:17" x14ac:dyDescent="0.3">
      <c r="A140" s="6" t="s">
        <v>2238</v>
      </c>
      <c r="B140" s="5" t="s">
        <v>2090</v>
      </c>
      <c r="C140" s="4" t="s">
        <v>226</v>
      </c>
      <c r="D140" s="4" t="s">
        <v>1225</v>
      </c>
      <c r="N140" s="5">
        <v>19.95</v>
      </c>
      <c r="Q140" s="5" t="str">
        <f>"5290036001057"</f>
        <v>5290036001057</v>
      </c>
    </row>
    <row r="141" spans="1:17" x14ac:dyDescent="0.3">
      <c r="A141" s="6" t="s">
        <v>2239</v>
      </c>
      <c r="B141" s="5" t="s">
        <v>2090</v>
      </c>
      <c r="C141" s="4" t="s">
        <v>227</v>
      </c>
      <c r="D141" s="4" t="s">
        <v>1226</v>
      </c>
      <c r="N141" s="5">
        <v>35.5</v>
      </c>
      <c r="Q141" s="5" t="str">
        <f>"6281024116173"</f>
        <v>6281024116173</v>
      </c>
    </row>
    <row r="142" spans="1:17" x14ac:dyDescent="0.3">
      <c r="A142" s="6" t="s">
        <v>2240</v>
      </c>
      <c r="B142" s="5" t="s">
        <v>2090</v>
      </c>
      <c r="C142" s="4" t="s">
        <v>228</v>
      </c>
      <c r="D142" s="4" t="s">
        <v>1227</v>
      </c>
      <c r="N142" s="5">
        <v>10</v>
      </c>
      <c r="Q142" s="5" t="str">
        <f>"5760466747295"</f>
        <v>5760466747295</v>
      </c>
    </row>
    <row r="143" spans="1:17" x14ac:dyDescent="0.3">
      <c r="A143" s="6" t="s">
        <v>2241</v>
      </c>
      <c r="B143" s="5" t="s">
        <v>2090</v>
      </c>
      <c r="C143" s="4" t="s">
        <v>229</v>
      </c>
      <c r="D143" s="4" t="s">
        <v>1228</v>
      </c>
      <c r="N143" s="5">
        <v>23.5</v>
      </c>
      <c r="Q143" s="5" t="str">
        <f>"6281048103173"</f>
        <v>6281048103173</v>
      </c>
    </row>
    <row r="144" spans="1:17" x14ac:dyDescent="0.3">
      <c r="A144" s="6" t="s">
        <v>2242</v>
      </c>
      <c r="B144" s="5" t="s">
        <v>2090</v>
      </c>
      <c r="C144" s="4" t="s">
        <v>230</v>
      </c>
      <c r="D144" s="4" t="s">
        <v>1229</v>
      </c>
      <c r="N144" s="5">
        <v>43.95</v>
      </c>
      <c r="Q144" s="5" t="str">
        <f>"2142360000004"</f>
        <v>2142360000004</v>
      </c>
    </row>
    <row r="145" spans="1:17" x14ac:dyDescent="0.3">
      <c r="A145" s="6" t="s">
        <v>2243</v>
      </c>
      <c r="B145" s="5" t="s">
        <v>2090</v>
      </c>
      <c r="C145" s="4" t="s">
        <v>231</v>
      </c>
      <c r="D145" s="4" t="s">
        <v>1230</v>
      </c>
      <c r="N145" s="5">
        <v>6.25</v>
      </c>
      <c r="Q145" s="5" t="str">
        <f>"6281007045780"</f>
        <v>6281007045780</v>
      </c>
    </row>
    <row r="146" spans="1:17" x14ac:dyDescent="0.3">
      <c r="A146" s="6" t="s">
        <v>2244</v>
      </c>
      <c r="B146" s="5" t="s">
        <v>2090</v>
      </c>
      <c r="C146" s="4" t="s">
        <v>232</v>
      </c>
      <c r="D146" s="4" t="s">
        <v>1231</v>
      </c>
      <c r="N146" s="5">
        <v>15.95</v>
      </c>
      <c r="Q146" s="5" t="str">
        <f>"3560071016944"</f>
        <v>3560071016944</v>
      </c>
    </row>
    <row r="147" spans="1:17" x14ac:dyDescent="0.3">
      <c r="A147" s="6" t="s">
        <v>2245</v>
      </c>
      <c r="B147" s="5" t="s">
        <v>2090</v>
      </c>
      <c r="C147" s="4" t="s">
        <v>233</v>
      </c>
      <c r="D147" s="4" t="s">
        <v>1232</v>
      </c>
      <c r="N147" s="5">
        <v>18.95</v>
      </c>
      <c r="Q147" s="5" t="str">
        <f>"3245412730924"</f>
        <v>3245412730924</v>
      </c>
    </row>
    <row r="148" spans="1:17" x14ac:dyDescent="0.3">
      <c r="A148" s="6" t="s">
        <v>2246</v>
      </c>
      <c r="B148" s="5" t="s">
        <v>2090</v>
      </c>
      <c r="C148" s="4" t="s">
        <v>234</v>
      </c>
      <c r="D148" s="4" t="s">
        <v>1233</v>
      </c>
      <c r="N148" s="5">
        <v>16.95</v>
      </c>
      <c r="Q148" s="5" t="str">
        <f>"5711953040641"</f>
        <v>5711953040641</v>
      </c>
    </row>
    <row r="149" spans="1:17" x14ac:dyDescent="0.3">
      <c r="A149" s="6" t="s">
        <v>2247</v>
      </c>
      <c r="B149" s="5" t="s">
        <v>2090</v>
      </c>
      <c r="C149" s="4" t="s">
        <v>235</v>
      </c>
      <c r="D149" s="4" t="s">
        <v>1234</v>
      </c>
      <c r="N149" s="5">
        <v>44.75</v>
      </c>
      <c r="Q149" s="5" t="str">
        <f>"6281051002241"</f>
        <v>6281051002241</v>
      </c>
    </row>
    <row r="150" spans="1:17" x14ac:dyDescent="0.3">
      <c r="A150" s="6" t="s">
        <v>2248</v>
      </c>
      <c r="B150" s="5" t="s">
        <v>2090</v>
      </c>
      <c r="C150" s="4" t="s">
        <v>236</v>
      </c>
      <c r="D150" s="4" t="s">
        <v>1235</v>
      </c>
      <c r="N150" s="5">
        <v>62.95</v>
      </c>
      <c r="Q150" s="5" t="str">
        <f>"3560070514786"</f>
        <v>3560070514786</v>
      </c>
    </row>
    <row r="151" spans="1:17" x14ac:dyDescent="0.3">
      <c r="A151" s="6" t="s">
        <v>2249</v>
      </c>
      <c r="B151" s="5" t="s">
        <v>2090</v>
      </c>
      <c r="C151" s="4" t="s">
        <v>237</v>
      </c>
      <c r="D151" s="4" t="s">
        <v>1236</v>
      </c>
      <c r="N151" s="5">
        <v>15</v>
      </c>
      <c r="Q151" s="5" t="str">
        <f>"6297000670966"</f>
        <v>6297000670966</v>
      </c>
    </row>
    <row r="152" spans="1:17" x14ac:dyDescent="0.3">
      <c r="A152" s="6" t="s">
        <v>2250</v>
      </c>
      <c r="B152" s="5" t="s">
        <v>2090</v>
      </c>
      <c r="C152" s="4" t="s">
        <v>238</v>
      </c>
      <c r="D152" s="4" t="s">
        <v>1237</v>
      </c>
      <c r="N152" s="5">
        <v>44.95</v>
      </c>
      <c r="Q152" s="5" t="str">
        <f>"3560070554331"</f>
        <v>3560070554331</v>
      </c>
    </row>
    <row r="153" spans="1:17" x14ac:dyDescent="0.3">
      <c r="A153" s="6" t="s">
        <v>2251</v>
      </c>
      <c r="B153" s="5" t="s">
        <v>2090</v>
      </c>
      <c r="C153" s="4" t="s">
        <v>239</v>
      </c>
      <c r="D153" s="4" t="s">
        <v>1238</v>
      </c>
      <c r="N153" s="5">
        <v>32.950000000000003</v>
      </c>
      <c r="Q153" s="5" t="str">
        <f>"3560070148752"</f>
        <v>3560070148752</v>
      </c>
    </row>
    <row r="154" spans="1:17" x14ac:dyDescent="0.3">
      <c r="A154" s="6" t="s">
        <v>2252</v>
      </c>
      <c r="B154" s="5" t="s">
        <v>2090</v>
      </c>
      <c r="C154" s="4" t="s">
        <v>240</v>
      </c>
      <c r="D154" s="4" t="s">
        <v>1239</v>
      </c>
      <c r="N154" s="5">
        <v>12.95</v>
      </c>
      <c r="Q154" s="5" t="str">
        <f>"6281007061759"</f>
        <v>6281007061759</v>
      </c>
    </row>
    <row r="155" spans="1:17" x14ac:dyDescent="0.3">
      <c r="A155" s="6" t="s">
        <v>2253</v>
      </c>
      <c r="B155" s="5" t="s">
        <v>2090</v>
      </c>
      <c r="C155" s="4" t="s">
        <v>241</v>
      </c>
      <c r="D155" s="4" t="s">
        <v>1240</v>
      </c>
      <c r="N155" s="5">
        <v>9.75</v>
      </c>
      <c r="Q155" s="5" t="str">
        <f>"6281057062614"</f>
        <v>6281057062614</v>
      </c>
    </row>
    <row r="156" spans="1:17" x14ac:dyDescent="0.3">
      <c r="A156" s="6" t="s">
        <v>2254</v>
      </c>
      <c r="B156" s="5" t="s">
        <v>2090</v>
      </c>
      <c r="C156" s="4" t="s">
        <v>242</v>
      </c>
      <c r="D156" s="4" t="s">
        <v>1241</v>
      </c>
      <c r="N156" s="5">
        <v>23.45</v>
      </c>
      <c r="Q156" s="5" t="str">
        <f>"5740900402867"</f>
        <v>5740900402867</v>
      </c>
    </row>
    <row r="157" spans="1:17" x14ac:dyDescent="0.3">
      <c r="A157" s="6" t="s">
        <v>2255</v>
      </c>
      <c r="B157" s="5" t="s">
        <v>2090</v>
      </c>
      <c r="C157" s="4" t="s">
        <v>243</v>
      </c>
      <c r="D157" s="4" t="s">
        <v>1242</v>
      </c>
      <c r="N157" s="5">
        <v>27.25</v>
      </c>
      <c r="Q157" s="5" t="str">
        <f>"6281007038942"</f>
        <v>6281007038942</v>
      </c>
    </row>
    <row r="158" spans="1:17" x14ac:dyDescent="0.3">
      <c r="A158" s="6" t="s">
        <v>2256</v>
      </c>
      <c r="B158" s="5" t="s">
        <v>2090</v>
      </c>
      <c r="C158" s="4" t="s">
        <v>244</v>
      </c>
      <c r="D158" s="4" t="s">
        <v>1243</v>
      </c>
      <c r="N158" s="5">
        <v>6</v>
      </c>
      <c r="Q158" s="5" t="str">
        <f>"6281007120906"</f>
        <v>6281007120906</v>
      </c>
    </row>
    <row r="159" spans="1:17" x14ac:dyDescent="0.3">
      <c r="A159" s="6" t="s">
        <v>2257</v>
      </c>
      <c r="B159" s="5" t="s">
        <v>2090</v>
      </c>
      <c r="C159" s="4" t="s">
        <v>245</v>
      </c>
      <c r="D159" s="4" t="s">
        <v>1244</v>
      </c>
      <c r="N159" s="5">
        <v>25.95</v>
      </c>
      <c r="Q159" s="5" t="str">
        <f>"3245414221550"</f>
        <v>3245414221550</v>
      </c>
    </row>
    <row r="160" spans="1:17" x14ac:dyDescent="0.3">
      <c r="A160" s="6" t="s">
        <v>2258</v>
      </c>
      <c r="B160" s="5" t="s">
        <v>2090</v>
      </c>
      <c r="C160" s="4" t="s">
        <v>246</v>
      </c>
      <c r="D160" s="4" t="s">
        <v>1245</v>
      </c>
      <c r="N160" s="5">
        <v>39.950000000000003</v>
      </c>
      <c r="Q160" s="5" t="str">
        <f>"3560070394739"</f>
        <v>3560070394739</v>
      </c>
    </row>
    <row r="161" spans="1:17" x14ac:dyDescent="0.3">
      <c r="A161" s="6" t="s">
        <v>2259</v>
      </c>
      <c r="B161" s="5" t="s">
        <v>2090</v>
      </c>
      <c r="C161" s="4" t="s">
        <v>247</v>
      </c>
      <c r="D161" s="4" t="s">
        <v>1246</v>
      </c>
      <c r="N161" s="5">
        <v>31</v>
      </c>
      <c r="Q161" s="5" t="str">
        <f>"6281039172126"</f>
        <v>6281039172126</v>
      </c>
    </row>
    <row r="162" spans="1:17" x14ac:dyDescent="0.3">
      <c r="A162" s="6" t="s">
        <v>2260</v>
      </c>
      <c r="B162" s="5" t="s">
        <v>2090</v>
      </c>
      <c r="C162" s="4" t="s">
        <v>248</v>
      </c>
      <c r="D162" s="4" t="s">
        <v>1247</v>
      </c>
      <c r="N162" s="5">
        <v>18.5</v>
      </c>
      <c r="Q162" s="5" t="str">
        <f>"6281007031226"</f>
        <v>6281007031226</v>
      </c>
    </row>
    <row r="163" spans="1:17" x14ac:dyDescent="0.3">
      <c r="A163" s="6" t="s">
        <v>2261</v>
      </c>
      <c r="B163" s="5" t="s">
        <v>2090</v>
      </c>
      <c r="C163" s="4" t="s">
        <v>249</v>
      </c>
      <c r="D163" s="4" t="s">
        <v>1248</v>
      </c>
      <c r="N163" s="5">
        <v>25.5</v>
      </c>
      <c r="Q163" s="5" t="str">
        <f>"6084012090222"</f>
        <v>6084012090222</v>
      </c>
    </row>
    <row r="164" spans="1:17" x14ac:dyDescent="0.3">
      <c r="A164" s="6" t="s">
        <v>2262</v>
      </c>
      <c r="B164" s="5" t="s">
        <v>2090</v>
      </c>
      <c r="C164" s="4" t="s">
        <v>250</v>
      </c>
      <c r="D164" s="4" t="s">
        <v>1249</v>
      </c>
      <c r="N164" s="5">
        <v>47.95</v>
      </c>
      <c r="Q164" s="5" t="str">
        <f>"3560070370344"</f>
        <v>3560070370344</v>
      </c>
    </row>
    <row r="165" spans="1:17" x14ac:dyDescent="0.3">
      <c r="A165" s="6" t="s">
        <v>2263</v>
      </c>
      <c r="B165" s="5" t="s">
        <v>2090</v>
      </c>
      <c r="C165" s="4" t="s">
        <v>251</v>
      </c>
      <c r="D165" s="4" t="s">
        <v>1250</v>
      </c>
      <c r="N165" s="5">
        <v>5.95</v>
      </c>
      <c r="Q165" s="5" t="str">
        <f>"6281018154549"</f>
        <v>6281018154549</v>
      </c>
    </row>
    <row r="166" spans="1:17" x14ac:dyDescent="0.3">
      <c r="A166" s="6" t="s">
        <v>2264</v>
      </c>
      <c r="B166" s="5" t="s">
        <v>2090</v>
      </c>
      <c r="C166" s="4" t="s">
        <v>252</v>
      </c>
      <c r="D166" s="4" t="s">
        <v>1251</v>
      </c>
      <c r="N166" s="5">
        <v>11.5</v>
      </c>
      <c r="Q166" s="5" t="str">
        <f>"6281022119206"</f>
        <v>6281022119206</v>
      </c>
    </row>
    <row r="167" spans="1:17" x14ac:dyDescent="0.3">
      <c r="A167" s="6" t="s">
        <v>2265</v>
      </c>
      <c r="B167" s="5" t="s">
        <v>2090</v>
      </c>
      <c r="C167" s="4" t="s">
        <v>253</v>
      </c>
      <c r="D167" s="4" t="s">
        <v>1252</v>
      </c>
      <c r="N167" s="5">
        <v>35.950000000000003</v>
      </c>
      <c r="Q167" s="5" t="str">
        <f>"3560070168651"</f>
        <v>3560070168651</v>
      </c>
    </row>
    <row r="168" spans="1:17" x14ac:dyDescent="0.3">
      <c r="A168" s="6" t="s">
        <v>2266</v>
      </c>
      <c r="B168" s="5" t="s">
        <v>2090</v>
      </c>
      <c r="C168" s="4" t="s">
        <v>254</v>
      </c>
      <c r="D168" s="4" t="s">
        <v>1253</v>
      </c>
      <c r="N168" s="5">
        <v>47.95</v>
      </c>
      <c r="Q168" s="5" t="str">
        <f>"3560070046775"</f>
        <v>3560070046775</v>
      </c>
    </row>
    <row r="169" spans="1:17" x14ac:dyDescent="0.3">
      <c r="A169" s="6" t="s">
        <v>2267</v>
      </c>
      <c r="B169" s="5" t="s">
        <v>2090</v>
      </c>
      <c r="C169" s="4" t="s">
        <v>255</v>
      </c>
      <c r="D169" s="4" t="s">
        <v>1254</v>
      </c>
      <c r="N169" s="5">
        <v>7.75</v>
      </c>
      <c r="Q169" s="5" t="str">
        <f>"6281022132250"</f>
        <v>6281022132250</v>
      </c>
    </row>
    <row r="170" spans="1:17" x14ac:dyDescent="0.3">
      <c r="A170" s="6" t="s">
        <v>2268</v>
      </c>
      <c r="B170" s="5" t="s">
        <v>2090</v>
      </c>
      <c r="C170" s="4" t="s">
        <v>256</v>
      </c>
      <c r="D170" s="4" t="s">
        <v>1255</v>
      </c>
      <c r="N170" s="5">
        <v>15.5</v>
      </c>
      <c r="Q170" s="5" t="str">
        <f>"3560070354450"</f>
        <v>3560070354450</v>
      </c>
    </row>
    <row r="171" spans="1:17" x14ac:dyDescent="0.3">
      <c r="A171" s="6" t="s">
        <v>2269</v>
      </c>
      <c r="B171" s="5" t="s">
        <v>2090</v>
      </c>
      <c r="C171" s="4" t="s">
        <v>257</v>
      </c>
      <c r="D171" s="4" t="s">
        <v>1256</v>
      </c>
      <c r="N171" s="5">
        <v>7</v>
      </c>
      <c r="Q171" s="5" t="str">
        <f>"6281022160192"</f>
        <v>6281022160192</v>
      </c>
    </row>
    <row r="172" spans="1:17" x14ac:dyDescent="0.3">
      <c r="A172" s="6" t="s">
        <v>2270</v>
      </c>
      <c r="B172" s="5" t="s">
        <v>2090</v>
      </c>
      <c r="C172" s="4" t="s">
        <v>258</v>
      </c>
      <c r="D172" s="4" t="s">
        <v>1257</v>
      </c>
      <c r="N172" s="5">
        <v>8</v>
      </c>
      <c r="Q172" s="5" t="str">
        <f>"6281057030026"</f>
        <v>6281057030026</v>
      </c>
    </row>
    <row r="173" spans="1:17" x14ac:dyDescent="0.3">
      <c r="A173" s="6" t="s">
        <v>2271</v>
      </c>
      <c r="B173" s="5" t="s">
        <v>2090</v>
      </c>
      <c r="C173" s="4" t="s">
        <v>259</v>
      </c>
      <c r="D173" s="4" t="s">
        <v>1258</v>
      </c>
      <c r="N173" s="5">
        <v>14</v>
      </c>
      <c r="Q173" s="5" t="str">
        <f>"6281022103854"</f>
        <v>6281022103854</v>
      </c>
    </row>
    <row r="174" spans="1:17" x14ac:dyDescent="0.3">
      <c r="A174" s="6" t="s">
        <v>2272</v>
      </c>
      <c r="B174" s="5" t="s">
        <v>2090</v>
      </c>
      <c r="C174" s="4" t="s">
        <v>260</v>
      </c>
      <c r="D174" s="4" t="s">
        <v>1259</v>
      </c>
      <c r="N174" s="5">
        <v>15.95</v>
      </c>
      <c r="Q174" s="5" t="str">
        <f>"6084012090673"</f>
        <v>6084012090673</v>
      </c>
    </row>
    <row r="175" spans="1:17" x14ac:dyDescent="0.3">
      <c r="A175" s="6" t="s">
        <v>2273</v>
      </c>
      <c r="B175" s="5" t="s">
        <v>2090</v>
      </c>
      <c r="C175" s="4" t="s">
        <v>261</v>
      </c>
      <c r="D175" s="4" t="s">
        <v>1260</v>
      </c>
      <c r="N175" s="5">
        <v>9.9499999999999993</v>
      </c>
      <c r="Q175" s="5" t="str">
        <f>"6297001083871"</f>
        <v>6297001083871</v>
      </c>
    </row>
    <row r="176" spans="1:17" x14ac:dyDescent="0.3">
      <c r="A176" s="6" t="s">
        <v>2274</v>
      </c>
      <c r="B176" s="5" t="s">
        <v>2090</v>
      </c>
      <c r="C176" s="4" t="s">
        <v>262</v>
      </c>
      <c r="D176" s="4" t="s">
        <v>1261</v>
      </c>
      <c r="N176" s="5">
        <v>7.95</v>
      </c>
      <c r="Q176" s="5" t="str">
        <f>"6287004293551"</f>
        <v>6287004293551</v>
      </c>
    </row>
    <row r="177" spans="1:17" x14ac:dyDescent="0.3">
      <c r="A177" s="6" t="s">
        <v>2275</v>
      </c>
      <c r="B177" s="5" t="s">
        <v>2090</v>
      </c>
      <c r="C177" s="4" t="s">
        <v>263</v>
      </c>
      <c r="D177" s="4" t="s">
        <v>1262</v>
      </c>
      <c r="N177" s="5">
        <v>14</v>
      </c>
      <c r="Q177" s="5" t="str">
        <f>"6281022107296"</f>
        <v>6281022107296</v>
      </c>
    </row>
    <row r="178" spans="1:17" x14ac:dyDescent="0.3">
      <c r="A178" s="6" t="s">
        <v>2276</v>
      </c>
      <c r="B178" s="5" t="s">
        <v>2090</v>
      </c>
      <c r="C178" s="4" t="s">
        <v>264</v>
      </c>
      <c r="D178" s="4" t="s">
        <v>1263</v>
      </c>
      <c r="N178" s="5">
        <v>10.5</v>
      </c>
      <c r="Q178" s="5" t="str">
        <f>"6281018262947"</f>
        <v>6281018262947</v>
      </c>
    </row>
    <row r="179" spans="1:17" x14ac:dyDescent="0.3">
      <c r="A179" s="6" t="s">
        <v>2277</v>
      </c>
      <c r="B179" s="5" t="s">
        <v>2090</v>
      </c>
      <c r="C179" s="4" t="s">
        <v>265</v>
      </c>
      <c r="D179" s="4" t="s">
        <v>1264</v>
      </c>
      <c r="N179" s="5">
        <v>11.25</v>
      </c>
      <c r="Q179" s="5" t="str">
        <f>"6287005740023"</f>
        <v>6287005740023</v>
      </c>
    </row>
    <row r="180" spans="1:17" x14ac:dyDescent="0.3">
      <c r="A180" s="6" t="s">
        <v>2278</v>
      </c>
      <c r="B180" s="5" t="s">
        <v>2090</v>
      </c>
      <c r="C180" s="4" t="s">
        <v>266</v>
      </c>
      <c r="D180" s="4" t="s">
        <v>1265</v>
      </c>
      <c r="N180" s="5">
        <v>21.95</v>
      </c>
      <c r="Q180" s="5" t="str">
        <f>"6297001083499"</f>
        <v>6297001083499</v>
      </c>
    </row>
    <row r="181" spans="1:17" x14ac:dyDescent="0.3">
      <c r="A181" s="6" t="s">
        <v>2279</v>
      </c>
      <c r="B181" s="5" t="s">
        <v>2090</v>
      </c>
      <c r="C181" s="4" t="s">
        <v>267</v>
      </c>
      <c r="D181" s="4" t="s">
        <v>1266</v>
      </c>
      <c r="N181" s="5">
        <v>40.950000000000003</v>
      </c>
      <c r="Q181" s="5" t="str">
        <f>"3560070108558"</f>
        <v>3560070108558</v>
      </c>
    </row>
    <row r="182" spans="1:17" x14ac:dyDescent="0.3">
      <c r="A182" s="6" t="s">
        <v>2280</v>
      </c>
      <c r="B182" s="5" t="s">
        <v>2090</v>
      </c>
      <c r="C182" s="4" t="s">
        <v>268</v>
      </c>
      <c r="D182" s="4" t="s">
        <v>1267</v>
      </c>
      <c r="N182" s="5">
        <v>27.5</v>
      </c>
      <c r="Q182" s="5" t="str">
        <f>"8692971438214"</f>
        <v>8692971438214</v>
      </c>
    </row>
    <row r="183" spans="1:17" x14ac:dyDescent="0.3">
      <c r="A183" s="6" t="s">
        <v>2281</v>
      </c>
      <c r="B183" s="5" t="s">
        <v>2090</v>
      </c>
      <c r="C183" s="4" t="s">
        <v>269</v>
      </c>
      <c r="D183" s="4" t="s">
        <v>1268</v>
      </c>
      <c r="N183" s="5">
        <v>21.95</v>
      </c>
      <c r="Q183" s="5" t="str">
        <f>"3560070971848"</f>
        <v>3560070971848</v>
      </c>
    </row>
    <row r="184" spans="1:17" x14ac:dyDescent="0.3">
      <c r="A184" s="6" t="s">
        <v>2282</v>
      </c>
      <c r="B184" s="5" t="s">
        <v>2090</v>
      </c>
      <c r="C184" s="4" t="s">
        <v>270</v>
      </c>
      <c r="D184" s="4" t="s">
        <v>1269</v>
      </c>
      <c r="N184" s="5">
        <v>6.5</v>
      </c>
      <c r="Q184" s="5" t="str">
        <f>"6281007032278"</f>
        <v>6281007032278</v>
      </c>
    </row>
    <row r="185" spans="1:17" x14ac:dyDescent="0.3">
      <c r="A185" s="6" t="s">
        <v>2283</v>
      </c>
      <c r="B185" s="5" t="s">
        <v>2090</v>
      </c>
      <c r="C185" s="4" t="s">
        <v>271</v>
      </c>
      <c r="D185" s="4" t="s">
        <v>1270</v>
      </c>
      <c r="N185" s="5">
        <v>16.95</v>
      </c>
      <c r="Q185" s="5" t="str">
        <f>"3073781190960"</f>
        <v>3073781190960</v>
      </c>
    </row>
    <row r="186" spans="1:17" x14ac:dyDescent="0.3">
      <c r="A186" s="6" t="s">
        <v>2284</v>
      </c>
      <c r="B186" s="5" t="s">
        <v>2090</v>
      </c>
      <c r="C186" s="4" t="s">
        <v>272</v>
      </c>
      <c r="D186" s="4" t="s">
        <v>1271</v>
      </c>
      <c r="N186" s="5">
        <v>2.5</v>
      </c>
      <c r="Q186" s="5" t="str">
        <f>"6281022118063"</f>
        <v>6281022118063</v>
      </c>
    </row>
    <row r="187" spans="1:17" x14ac:dyDescent="0.3">
      <c r="A187" s="6" t="s">
        <v>2285</v>
      </c>
      <c r="B187" s="5" t="s">
        <v>2090</v>
      </c>
      <c r="C187" s="4" t="s">
        <v>273</v>
      </c>
      <c r="D187" s="4" t="s">
        <v>1272</v>
      </c>
      <c r="N187" s="5">
        <v>9.5</v>
      </c>
      <c r="Q187" s="5" t="str">
        <f>"6281057002672"</f>
        <v>6281057002672</v>
      </c>
    </row>
    <row r="188" spans="1:17" x14ac:dyDescent="0.3">
      <c r="A188" s="6" t="s">
        <v>2286</v>
      </c>
      <c r="B188" s="5" t="s">
        <v>2090</v>
      </c>
      <c r="C188" s="4" t="s">
        <v>274</v>
      </c>
      <c r="D188" s="4" t="s">
        <v>1273</v>
      </c>
      <c r="N188" s="5">
        <v>2.5</v>
      </c>
      <c r="Q188" s="5" t="str">
        <f>"6281022118247"</f>
        <v>6281022118247</v>
      </c>
    </row>
    <row r="189" spans="1:17" x14ac:dyDescent="0.3">
      <c r="A189" s="6" t="s">
        <v>2287</v>
      </c>
      <c r="B189" s="5" t="s">
        <v>2090</v>
      </c>
      <c r="C189" s="4" t="s">
        <v>275</v>
      </c>
      <c r="D189" s="4" t="s">
        <v>1274</v>
      </c>
      <c r="N189" s="5">
        <v>23.95</v>
      </c>
      <c r="Q189" s="5" t="str">
        <f>"3245411216818"</f>
        <v>3245411216818</v>
      </c>
    </row>
    <row r="190" spans="1:17" x14ac:dyDescent="0.3">
      <c r="A190" s="6" t="s">
        <v>2288</v>
      </c>
      <c r="B190" s="5" t="s">
        <v>2090</v>
      </c>
      <c r="C190" s="4" t="s">
        <v>276</v>
      </c>
      <c r="D190" s="4" t="s">
        <v>1275</v>
      </c>
      <c r="N190" s="5">
        <v>37.25</v>
      </c>
      <c r="Q190" s="5" t="str">
        <f>"6281022153323"</f>
        <v>6281022153323</v>
      </c>
    </row>
    <row r="191" spans="1:17" x14ac:dyDescent="0.3">
      <c r="A191" s="6" t="s">
        <v>2289</v>
      </c>
      <c r="B191" s="5" t="s">
        <v>2090</v>
      </c>
      <c r="C191" s="4" t="s">
        <v>277</v>
      </c>
      <c r="D191" s="4" t="s">
        <v>1276</v>
      </c>
      <c r="N191" s="5">
        <v>19.95</v>
      </c>
      <c r="Q191" s="5" t="str">
        <f>"6281048109885"</f>
        <v>6281048109885</v>
      </c>
    </row>
    <row r="192" spans="1:17" x14ac:dyDescent="0.3">
      <c r="A192" s="6" t="s">
        <v>2290</v>
      </c>
      <c r="B192" s="5" t="s">
        <v>2090</v>
      </c>
      <c r="C192" s="4" t="s">
        <v>278</v>
      </c>
      <c r="D192" s="4" t="s">
        <v>1277</v>
      </c>
      <c r="N192" s="5">
        <v>2.5</v>
      </c>
      <c r="Q192" s="5" t="str">
        <f>"6281022117264"</f>
        <v>6281022117264</v>
      </c>
    </row>
    <row r="193" spans="1:17" x14ac:dyDescent="0.3">
      <c r="A193" s="6" t="s">
        <v>2291</v>
      </c>
      <c r="B193" s="5" t="s">
        <v>2090</v>
      </c>
      <c r="C193" s="4" t="s">
        <v>279</v>
      </c>
      <c r="D193" s="4" t="s">
        <v>1278</v>
      </c>
      <c r="N193" s="5">
        <v>65.95</v>
      </c>
      <c r="Q193" s="5" t="str">
        <f>"2142670000008"</f>
        <v>2142670000008</v>
      </c>
    </row>
    <row r="194" spans="1:17" x14ac:dyDescent="0.3">
      <c r="A194" s="6" t="s">
        <v>2292</v>
      </c>
      <c r="B194" s="5" t="s">
        <v>2090</v>
      </c>
      <c r="C194" s="4" t="s">
        <v>280</v>
      </c>
      <c r="D194" s="4" t="s">
        <v>1279</v>
      </c>
      <c r="N194" s="5">
        <v>5.95</v>
      </c>
      <c r="Q194" s="5" t="str">
        <f>"6281018154846"</f>
        <v>6281018154846</v>
      </c>
    </row>
    <row r="195" spans="1:17" x14ac:dyDescent="0.3">
      <c r="A195" s="6" t="s">
        <v>2293</v>
      </c>
      <c r="B195" s="5" t="s">
        <v>2090</v>
      </c>
      <c r="C195" s="4" t="s">
        <v>281</v>
      </c>
      <c r="D195" s="4" t="s">
        <v>1280</v>
      </c>
      <c r="N195" s="5">
        <v>19.5</v>
      </c>
      <c r="Q195" s="5" t="str">
        <f>"6281007033077"</f>
        <v>6281007033077</v>
      </c>
    </row>
    <row r="196" spans="1:17" x14ac:dyDescent="0.3">
      <c r="A196" s="6" t="s">
        <v>2294</v>
      </c>
      <c r="B196" s="5" t="s">
        <v>2090</v>
      </c>
      <c r="C196" s="4" t="s">
        <v>282</v>
      </c>
      <c r="D196" s="4" t="s">
        <v>1281</v>
      </c>
      <c r="N196" s="5">
        <v>31.95</v>
      </c>
      <c r="Q196" s="5" t="str">
        <f>"3073781191042"</f>
        <v>3073781191042</v>
      </c>
    </row>
    <row r="197" spans="1:17" x14ac:dyDescent="0.3">
      <c r="A197" s="6" t="s">
        <v>2295</v>
      </c>
      <c r="B197" s="5" t="s">
        <v>2090</v>
      </c>
      <c r="C197" s="4" t="s">
        <v>283</v>
      </c>
      <c r="D197" s="4" t="s">
        <v>1282</v>
      </c>
      <c r="N197" s="5">
        <v>12</v>
      </c>
      <c r="Q197" s="5" t="str">
        <f>"6281018140078"</f>
        <v>6281018140078</v>
      </c>
    </row>
    <row r="198" spans="1:17" x14ac:dyDescent="0.3">
      <c r="A198" s="6" t="s">
        <v>2296</v>
      </c>
      <c r="B198" s="5" t="s">
        <v>2090</v>
      </c>
      <c r="C198" s="4" t="s">
        <v>284</v>
      </c>
      <c r="D198" s="4" t="s">
        <v>1283</v>
      </c>
      <c r="N198" s="5">
        <v>64.95</v>
      </c>
      <c r="Q198" s="5" t="str">
        <f>"6281007035071"</f>
        <v>6281007035071</v>
      </c>
    </row>
    <row r="199" spans="1:17" x14ac:dyDescent="0.3">
      <c r="A199" s="6" t="s">
        <v>2297</v>
      </c>
      <c r="B199" s="5" t="s">
        <v>2090</v>
      </c>
      <c r="C199" s="4" t="s">
        <v>285</v>
      </c>
      <c r="D199" s="4" t="s">
        <v>1284</v>
      </c>
      <c r="N199" s="5">
        <v>9.5</v>
      </c>
      <c r="Q199" s="5" t="str">
        <f>"6281057002610"</f>
        <v>6281057002610</v>
      </c>
    </row>
    <row r="200" spans="1:17" x14ac:dyDescent="0.3">
      <c r="A200" s="6" t="s">
        <v>2298</v>
      </c>
      <c r="B200" s="5" t="s">
        <v>2090</v>
      </c>
      <c r="C200" s="4" t="s">
        <v>286</v>
      </c>
      <c r="D200" s="4" t="s">
        <v>1285</v>
      </c>
      <c r="N200" s="5">
        <v>51.95</v>
      </c>
      <c r="Q200" s="5" t="str">
        <f>"2141819000008"</f>
        <v>2141819000008</v>
      </c>
    </row>
    <row r="201" spans="1:17" x14ac:dyDescent="0.3">
      <c r="A201" s="6" t="s">
        <v>2299</v>
      </c>
      <c r="B201" s="5" t="s">
        <v>2090</v>
      </c>
      <c r="C201" s="4" t="s">
        <v>287</v>
      </c>
      <c r="D201" s="4" t="s">
        <v>1286</v>
      </c>
      <c r="N201" s="5">
        <v>8.25</v>
      </c>
      <c r="Q201" s="5" t="str">
        <f>"6281007023900"</f>
        <v>6281007023900</v>
      </c>
    </row>
    <row r="202" spans="1:17" x14ac:dyDescent="0.3">
      <c r="A202" s="6" t="s">
        <v>2300</v>
      </c>
      <c r="B202" s="5" t="s">
        <v>2090</v>
      </c>
      <c r="C202" s="4" t="s">
        <v>288</v>
      </c>
      <c r="D202" s="4" t="s">
        <v>1287</v>
      </c>
      <c r="N202" s="5">
        <v>18.95</v>
      </c>
      <c r="Q202" s="5" t="str">
        <f>"6281100504023"</f>
        <v>6281100504023</v>
      </c>
    </row>
    <row r="203" spans="1:17" x14ac:dyDescent="0.3">
      <c r="A203" s="6" t="s">
        <v>2301</v>
      </c>
      <c r="B203" s="5" t="s">
        <v>2090</v>
      </c>
      <c r="C203" s="4" t="s">
        <v>289</v>
      </c>
      <c r="D203" s="4" t="s">
        <v>1288</v>
      </c>
      <c r="N203" s="5">
        <v>2.5</v>
      </c>
      <c r="Q203" s="5" t="str">
        <f>"6281022118230"</f>
        <v>6281022118230</v>
      </c>
    </row>
    <row r="204" spans="1:17" x14ac:dyDescent="0.3">
      <c r="A204" s="6" t="s">
        <v>2302</v>
      </c>
      <c r="B204" s="5" t="s">
        <v>2090</v>
      </c>
      <c r="C204" s="4" t="s">
        <v>290</v>
      </c>
      <c r="D204" s="4" t="s">
        <v>1289</v>
      </c>
      <c r="N204" s="5">
        <v>22.25</v>
      </c>
      <c r="Q204" s="5" t="str">
        <f>"3073781193367"</f>
        <v>3073781193367</v>
      </c>
    </row>
    <row r="205" spans="1:17" x14ac:dyDescent="0.3">
      <c r="A205" s="6" t="s">
        <v>2303</v>
      </c>
      <c r="B205" s="5" t="s">
        <v>2090</v>
      </c>
      <c r="C205" s="4" t="s">
        <v>291</v>
      </c>
      <c r="D205" s="4" t="s">
        <v>1290</v>
      </c>
      <c r="N205" s="5">
        <v>14.5</v>
      </c>
      <c r="Q205" s="5" t="str">
        <f>"6281022120431"</f>
        <v>6281022120431</v>
      </c>
    </row>
    <row r="206" spans="1:17" x14ac:dyDescent="0.3">
      <c r="A206" s="6" t="s">
        <v>2304</v>
      </c>
      <c r="B206" s="5" t="s">
        <v>2090</v>
      </c>
      <c r="C206" s="4" t="s">
        <v>292</v>
      </c>
      <c r="D206" s="4" t="s">
        <v>1291</v>
      </c>
      <c r="N206" s="5">
        <v>28</v>
      </c>
      <c r="Q206" s="5" t="str">
        <f>"5411188125341"</f>
        <v>5411188125341</v>
      </c>
    </row>
    <row r="207" spans="1:17" x14ac:dyDescent="0.3">
      <c r="A207" s="6" t="s">
        <v>2305</v>
      </c>
      <c r="B207" s="5" t="s">
        <v>2090</v>
      </c>
      <c r="C207" s="4" t="s">
        <v>293</v>
      </c>
      <c r="D207" s="4" t="s">
        <v>1292</v>
      </c>
      <c r="N207" s="5">
        <v>16</v>
      </c>
      <c r="Q207" s="5" t="str">
        <f>"6281022167276"</f>
        <v>6281022167276</v>
      </c>
    </row>
    <row r="208" spans="1:17" x14ac:dyDescent="0.3">
      <c r="A208" s="6" t="s">
        <v>2306</v>
      </c>
      <c r="B208" s="5" t="s">
        <v>2090</v>
      </c>
      <c r="C208" s="4" t="s">
        <v>294</v>
      </c>
      <c r="D208" s="4" t="s">
        <v>1293</v>
      </c>
      <c r="N208" s="5">
        <v>22.95</v>
      </c>
      <c r="Q208" s="5" t="str">
        <f>"6084012090284"</f>
        <v>6084012090284</v>
      </c>
    </row>
    <row r="209" spans="1:17" x14ac:dyDescent="0.3">
      <c r="A209" s="6" t="s">
        <v>2307</v>
      </c>
      <c r="B209" s="5" t="s">
        <v>2090</v>
      </c>
      <c r="C209" s="4" t="s">
        <v>295</v>
      </c>
      <c r="D209" s="4" t="s">
        <v>1115</v>
      </c>
      <c r="N209" s="5">
        <v>35.5</v>
      </c>
      <c r="Q209" s="5" t="str">
        <f>"6281024114476"</f>
        <v>6281024114476</v>
      </c>
    </row>
    <row r="210" spans="1:17" x14ac:dyDescent="0.3">
      <c r="A210" s="6" t="s">
        <v>2308</v>
      </c>
      <c r="B210" s="5" t="s">
        <v>2090</v>
      </c>
      <c r="C210" s="4" t="s">
        <v>296</v>
      </c>
      <c r="D210" s="4" t="s">
        <v>1294</v>
      </c>
      <c r="N210" s="5">
        <v>18.5</v>
      </c>
      <c r="Q210" s="5" t="str">
        <f>"6281048109625"</f>
        <v>6281048109625</v>
      </c>
    </row>
    <row r="211" spans="1:17" x14ac:dyDescent="0.3">
      <c r="A211" s="6" t="s">
        <v>2309</v>
      </c>
      <c r="B211" s="5" t="s">
        <v>2090</v>
      </c>
      <c r="C211" s="4" t="s">
        <v>297</v>
      </c>
      <c r="D211" s="4" t="s">
        <v>1295</v>
      </c>
      <c r="N211" s="5">
        <v>10</v>
      </c>
      <c r="Q211" s="5" t="str">
        <f>"6281024110089"</f>
        <v>6281024110089</v>
      </c>
    </row>
    <row r="212" spans="1:17" x14ac:dyDescent="0.3">
      <c r="A212" s="6" t="s">
        <v>2310</v>
      </c>
      <c r="B212" s="5" t="s">
        <v>2090</v>
      </c>
      <c r="C212" s="4" t="s">
        <v>298</v>
      </c>
      <c r="D212" s="4" t="s">
        <v>1296</v>
      </c>
      <c r="N212" s="5">
        <v>14.25</v>
      </c>
      <c r="Q212" s="5" t="str">
        <f>"6281007186230"</f>
        <v>6281007186230</v>
      </c>
    </row>
    <row r="213" spans="1:17" x14ac:dyDescent="0.3">
      <c r="A213" s="6" t="s">
        <v>2311</v>
      </c>
      <c r="B213" s="5" t="s">
        <v>2090</v>
      </c>
      <c r="C213" s="4" t="s">
        <v>299</v>
      </c>
      <c r="D213" s="4" t="s">
        <v>1297</v>
      </c>
      <c r="N213" s="5">
        <v>70.95</v>
      </c>
      <c r="Q213" s="5" t="str">
        <f>"2143076000005"</f>
        <v>2143076000005</v>
      </c>
    </row>
    <row r="214" spans="1:17" x14ac:dyDescent="0.3">
      <c r="A214" s="6" t="s">
        <v>2312</v>
      </c>
      <c r="B214" s="5" t="s">
        <v>2090</v>
      </c>
      <c r="C214" s="4" t="s">
        <v>300</v>
      </c>
      <c r="D214" s="4" t="s">
        <v>1298</v>
      </c>
      <c r="N214" s="5">
        <v>10.25</v>
      </c>
      <c r="Q214" s="5" t="str">
        <f>"6287004520381"</f>
        <v>6287004520381</v>
      </c>
    </row>
    <row r="215" spans="1:17" x14ac:dyDescent="0.3">
      <c r="A215" s="6" t="s">
        <v>2313</v>
      </c>
      <c r="B215" s="5" t="s">
        <v>2090</v>
      </c>
      <c r="C215" s="4" t="s">
        <v>301</v>
      </c>
      <c r="D215" s="4" t="s">
        <v>1299</v>
      </c>
      <c r="N215" s="5">
        <v>33</v>
      </c>
      <c r="Q215" s="5" t="str">
        <f>"6281007036146"</f>
        <v>6281007036146</v>
      </c>
    </row>
    <row r="216" spans="1:17" x14ac:dyDescent="0.3">
      <c r="A216" s="6" t="s">
        <v>2314</v>
      </c>
      <c r="B216" s="5" t="s">
        <v>2090</v>
      </c>
      <c r="C216" s="4" t="s">
        <v>302</v>
      </c>
      <c r="D216" s="4" t="s">
        <v>1300</v>
      </c>
      <c r="N216" s="5">
        <v>12.5</v>
      </c>
      <c r="Q216" s="5" t="str">
        <f>"6281022118094"</f>
        <v>6281022118094</v>
      </c>
    </row>
    <row r="217" spans="1:17" x14ac:dyDescent="0.3">
      <c r="A217" s="6" t="s">
        <v>2315</v>
      </c>
      <c r="B217" s="5" t="s">
        <v>2090</v>
      </c>
      <c r="C217" s="4" t="s">
        <v>303</v>
      </c>
      <c r="D217" s="4" t="s">
        <v>1301</v>
      </c>
      <c r="N217" s="5">
        <v>5.95</v>
      </c>
      <c r="Q217" s="5" t="str">
        <f>"6281018154747"</f>
        <v>6281018154747</v>
      </c>
    </row>
    <row r="218" spans="1:17" x14ac:dyDescent="0.3">
      <c r="A218" s="6" t="s">
        <v>2316</v>
      </c>
      <c r="B218" s="5" t="s">
        <v>2090</v>
      </c>
      <c r="C218" s="4" t="s">
        <v>304</v>
      </c>
      <c r="D218" s="4" t="s">
        <v>1302</v>
      </c>
      <c r="N218" s="5">
        <v>2</v>
      </c>
      <c r="Q218" s="5" t="str">
        <f>"6281057011704"</f>
        <v>6281057011704</v>
      </c>
    </row>
    <row r="219" spans="1:17" x14ac:dyDescent="0.3">
      <c r="A219" s="6" t="s">
        <v>2317</v>
      </c>
      <c r="B219" s="5" t="s">
        <v>2090</v>
      </c>
      <c r="C219" s="4" t="s">
        <v>305</v>
      </c>
      <c r="D219" s="4" t="s">
        <v>1303</v>
      </c>
      <c r="N219" s="5">
        <v>10.95</v>
      </c>
      <c r="Q219" s="5" t="str">
        <f>"6281057012909"</f>
        <v>6281057012909</v>
      </c>
    </row>
    <row r="220" spans="1:17" x14ac:dyDescent="0.3">
      <c r="A220" s="6" t="s">
        <v>2318</v>
      </c>
      <c r="B220" s="5" t="s">
        <v>2090</v>
      </c>
      <c r="C220" s="4" t="s">
        <v>306</v>
      </c>
      <c r="D220" s="4" t="s">
        <v>1304</v>
      </c>
      <c r="N220" s="5">
        <v>27.25</v>
      </c>
      <c r="Q220" s="5" t="str">
        <f>"6281007038973"</f>
        <v>6281007038973</v>
      </c>
    </row>
    <row r="221" spans="1:17" x14ac:dyDescent="0.3">
      <c r="A221" s="6" t="s">
        <v>2319</v>
      </c>
      <c r="B221" s="5" t="s">
        <v>2090</v>
      </c>
      <c r="C221" s="4" t="s">
        <v>307</v>
      </c>
      <c r="D221" s="4" t="s">
        <v>1305</v>
      </c>
      <c r="N221" s="5">
        <v>24.45</v>
      </c>
      <c r="Q221" s="5" t="str">
        <f>"2142698000004"</f>
        <v>2142698000004</v>
      </c>
    </row>
    <row r="222" spans="1:17" x14ac:dyDescent="0.3">
      <c r="A222" s="6" t="s">
        <v>2320</v>
      </c>
      <c r="B222" s="5" t="s">
        <v>2090</v>
      </c>
      <c r="C222" s="4" t="s">
        <v>308</v>
      </c>
      <c r="D222" s="4" t="s">
        <v>1306</v>
      </c>
      <c r="N222" s="5">
        <v>44.5</v>
      </c>
      <c r="Q222" s="5" t="str">
        <f>"5711953056918"</f>
        <v>5711953056918</v>
      </c>
    </row>
    <row r="223" spans="1:17" x14ac:dyDescent="0.3">
      <c r="A223" s="6" t="s">
        <v>2321</v>
      </c>
      <c r="B223" s="5" t="s">
        <v>2090</v>
      </c>
      <c r="C223" s="4" t="s">
        <v>309</v>
      </c>
      <c r="D223" s="4" t="s">
        <v>1307</v>
      </c>
      <c r="N223" s="5">
        <v>17.5</v>
      </c>
      <c r="Q223" s="5" t="str">
        <f>"5711953023118"</f>
        <v>5711953023118</v>
      </c>
    </row>
    <row r="224" spans="1:17" x14ac:dyDescent="0.3">
      <c r="A224" s="6" t="s">
        <v>2322</v>
      </c>
      <c r="B224" s="5" t="s">
        <v>2090</v>
      </c>
      <c r="C224" s="4" t="s">
        <v>310</v>
      </c>
      <c r="D224" s="4" t="s">
        <v>1308</v>
      </c>
      <c r="N224" s="5">
        <v>14.95</v>
      </c>
      <c r="Q224" s="5" t="str">
        <f>"3073781049831"</f>
        <v>3073781049831</v>
      </c>
    </row>
    <row r="225" spans="1:17" x14ac:dyDescent="0.3">
      <c r="A225" s="6" t="s">
        <v>2323</v>
      </c>
      <c r="B225" s="5" t="s">
        <v>2090</v>
      </c>
      <c r="C225" s="4" t="s">
        <v>311</v>
      </c>
      <c r="D225" s="4" t="s">
        <v>1309</v>
      </c>
      <c r="N225" s="5">
        <v>5.5</v>
      </c>
      <c r="Q225" s="5" t="str">
        <f>"6281057005918"</f>
        <v>6281057005918</v>
      </c>
    </row>
    <row r="226" spans="1:17" x14ac:dyDescent="0.3">
      <c r="A226" s="6" t="s">
        <v>2324</v>
      </c>
      <c r="B226" s="5" t="s">
        <v>2090</v>
      </c>
      <c r="C226" s="4" t="s">
        <v>312</v>
      </c>
      <c r="D226" s="4" t="s">
        <v>1310</v>
      </c>
      <c r="N226" s="5">
        <v>14.5</v>
      </c>
      <c r="Q226" s="5" t="str">
        <f>"6287004293568"</f>
        <v>6287004293568</v>
      </c>
    </row>
    <row r="227" spans="1:17" x14ac:dyDescent="0.3">
      <c r="A227" s="6" t="s">
        <v>2325</v>
      </c>
      <c r="B227" s="5" t="s">
        <v>2090</v>
      </c>
      <c r="C227" s="4" t="s">
        <v>313</v>
      </c>
      <c r="D227" s="4" t="s">
        <v>1311</v>
      </c>
      <c r="N227" s="5">
        <v>25.45</v>
      </c>
      <c r="Q227" s="5" t="str">
        <f>"2149895000004"</f>
        <v>2149895000004</v>
      </c>
    </row>
    <row r="228" spans="1:17" x14ac:dyDescent="0.3">
      <c r="A228" s="6" t="s">
        <v>2326</v>
      </c>
      <c r="B228" s="5" t="s">
        <v>2090</v>
      </c>
      <c r="C228" s="4" t="s">
        <v>314</v>
      </c>
      <c r="D228" s="4" t="s">
        <v>1312</v>
      </c>
      <c r="N228" s="5">
        <v>8.75</v>
      </c>
      <c r="Q228" s="5" t="str">
        <f>"3073781190946"</f>
        <v>3073781190946</v>
      </c>
    </row>
    <row r="229" spans="1:17" x14ac:dyDescent="0.3">
      <c r="A229" s="6" t="s">
        <v>2327</v>
      </c>
      <c r="B229" s="5" t="s">
        <v>2090</v>
      </c>
      <c r="C229" s="4" t="s">
        <v>315</v>
      </c>
      <c r="D229" s="4" t="s">
        <v>1313</v>
      </c>
      <c r="N229" s="5">
        <v>15.95</v>
      </c>
      <c r="Q229" s="5" t="str">
        <f>"5740900403567"</f>
        <v>5740900403567</v>
      </c>
    </row>
    <row r="230" spans="1:17" x14ac:dyDescent="0.3">
      <c r="A230" s="6" t="s">
        <v>2328</v>
      </c>
      <c r="B230" s="5" t="s">
        <v>2090</v>
      </c>
      <c r="C230" s="4" t="s">
        <v>316</v>
      </c>
      <c r="D230" s="4" t="s">
        <v>1314</v>
      </c>
      <c r="N230" s="5">
        <v>14.5</v>
      </c>
      <c r="Q230" s="5" t="str">
        <f>"6281018120322"</f>
        <v>6281018120322</v>
      </c>
    </row>
    <row r="231" spans="1:17" x14ac:dyDescent="0.3">
      <c r="A231" s="6" t="s">
        <v>2329</v>
      </c>
      <c r="B231" s="5" t="s">
        <v>2090</v>
      </c>
      <c r="C231" s="4" t="s">
        <v>317</v>
      </c>
      <c r="D231" s="4" t="s">
        <v>1315</v>
      </c>
      <c r="N231" s="5">
        <v>60.75</v>
      </c>
      <c r="Q231" s="5" t="str">
        <f>"6281007035095"</f>
        <v>6281007035095</v>
      </c>
    </row>
    <row r="232" spans="1:17" x14ac:dyDescent="0.3">
      <c r="A232" s="6" t="s">
        <v>2330</v>
      </c>
      <c r="B232" s="5" t="s">
        <v>2090</v>
      </c>
      <c r="C232" s="4" t="s">
        <v>318</v>
      </c>
      <c r="D232" s="4" t="s">
        <v>1316</v>
      </c>
      <c r="N232" s="5">
        <v>93.95</v>
      </c>
      <c r="Q232" s="5" t="str">
        <f>"2140345000001"</f>
        <v>2140345000001</v>
      </c>
    </row>
    <row r="233" spans="1:17" x14ac:dyDescent="0.3">
      <c r="A233" s="6" t="s">
        <v>2331</v>
      </c>
      <c r="B233" s="5" t="s">
        <v>2090</v>
      </c>
      <c r="C233" s="4" t="s">
        <v>319</v>
      </c>
      <c r="D233" s="4" t="s">
        <v>1317</v>
      </c>
      <c r="N233" s="5">
        <v>26.95</v>
      </c>
      <c r="Q233" s="5" t="str">
        <f>"5700426230153"</f>
        <v>5700426230153</v>
      </c>
    </row>
    <row r="234" spans="1:17" x14ac:dyDescent="0.3">
      <c r="A234" s="6" t="s">
        <v>2332</v>
      </c>
      <c r="B234" s="5" t="s">
        <v>2090</v>
      </c>
      <c r="C234" s="4" t="s">
        <v>320</v>
      </c>
      <c r="D234" s="4" t="s">
        <v>1318</v>
      </c>
      <c r="N234" s="5">
        <v>27</v>
      </c>
      <c r="Q234" s="5" t="str">
        <f>"5411188081852"</f>
        <v>5411188081852</v>
      </c>
    </row>
    <row r="235" spans="1:17" x14ac:dyDescent="0.3">
      <c r="A235" s="6" t="s">
        <v>2333</v>
      </c>
      <c r="B235" s="5" t="s">
        <v>2090</v>
      </c>
      <c r="C235" s="4" t="s">
        <v>321</v>
      </c>
      <c r="D235" s="4" t="s">
        <v>1319</v>
      </c>
      <c r="N235" s="5">
        <v>11.75</v>
      </c>
      <c r="Q235" s="5" t="str">
        <f>"5711953164088"</f>
        <v>5711953164088</v>
      </c>
    </row>
    <row r="236" spans="1:17" x14ac:dyDescent="0.3">
      <c r="A236" s="6" t="s">
        <v>2334</v>
      </c>
      <c r="B236" s="5" t="s">
        <v>2090</v>
      </c>
      <c r="C236" s="4" t="s">
        <v>322</v>
      </c>
      <c r="D236" s="4" t="s">
        <v>1320</v>
      </c>
      <c r="N236" s="5">
        <v>50.95</v>
      </c>
      <c r="Q236" s="5" t="str">
        <f>"2143836000009"</f>
        <v>2143836000009</v>
      </c>
    </row>
    <row r="237" spans="1:17" x14ac:dyDescent="0.3">
      <c r="A237" s="6" t="s">
        <v>2335</v>
      </c>
      <c r="B237" s="5" t="s">
        <v>2090</v>
      </c>
      <c r="C237" s="4" t="s">
        <v>323</v>
      </c>
      <c r="D237" s="4" t="s">
        <v>1321</v>
      </c>
      <c r="N237" s="5">
        <v>69.95</v>
      </c>
      <c r="Q237" s="5" t="str">
        <f>"2140360000000"</f>
        <v>2140360000000</v>
      </c>
    </row>
    <row r="238" spans="1:17" x14ac:dyDescent="0.3">
      <c r="A238" s="6" t="s">
        <v>2336</v>
      </c>
      <c r="B238" s="5" t="s">
        <v>2090</v>
      </c>
      <c r="C238" s="4" t="s">
        <v>324</v>
      </c>
      <c r="D238" s="4" t="s">
        <v>1322</v>
      </c>
      <c r="N238" s="5">
        <v>9.9499999999999993</v>
      </c>
      <c r="Q238" s="5" t="str">
        <f>"6281007041188"</f>
        <v>6281007041188</v>
      </c>
    </row>
    <row r="239" spans="1:17" x14ac:dyDescent="0.3">
      <c r="A239" s="6" t="s">
        <v>2337</v>
      </c>
      <c r="B239" s="5" t="s">
        <v>2090</v>
      </c>
      <c r="C239" s="4" t="s">
        <v>325</v>
      </c>
      <c r="D239" s="4" t="s">
        <v>1323</v>
      </c>
      <c r="N239" s="5">
        <v>13</v>
      </c>
      <c r="Q239" s="5" t="str">
        <f>"5760466732567"</f>
        <v>5760466732567</v>
      </c>
    </row>
    <row r="240" spans="1:17" x14ac:dyDescent="0.3">
      <c r="A240" s="6" t="s">
        <v>2338</v>
      </c>
      <c r="B240" s="5" t="s">
        <v>2090</v>
      </c>
      <c r="C240" s="4" t="s">
        <v>326</v>
      </c>
      <c r="D240" s="4" t="s">
        <v>1324</v>
      </c>
      <c r="N240" s="5">
        <v>8.5</v>
      </c>
      <c r="Q240" s="5" t="str">
        <f>"6281057004126"</f>
        <v>6281057004126</v>
      </c>
    </row>
    <row r="241" spans="1:17" x14ac:dyDescent="0.3">
      <c r="A241" s="6" t="s">
        <v>2339</v>
      </c>
      <c r="B241" s="5" t="s">
        <v>2090</v>
      </c>
      <c r="C241" s="4" t="s">
        <v>327</v>
      </c>
      <c r="D241" s="4" t="s">
        <v>1325</v>
      </c>
      <c r="N241" s="5">
        <v>76.95</v>
      </c>
      <c r="Q241" s="5" t="str">
        <f>"2140701000003"</f>
        <v>2140701000003</v>
      </c>
    </row>
    <row r="242" spans="1:17" x14ac:dyDescent="0.3">
      <c r="A242" s="6" t="s">
        <v>2340</v>
      </c>
      <c r="B242" s="5" t="s">
        <v>2090</v>
      </c>
      <c r="C242" s="4" t="s">
        <v>328</v>
      </c>
      <c r="D242" s="4" t="s">
        <v>1326</v>
      </c>
      <c r="N242" s="5">
        <v>11.95</v>
      </c>
      <c r="Q242" s="5" t="str">
        <f>"6084012090192"</f>
        <v>6084012090192</v>
      </c>
    </row>
    <row r="243" spans="1:17" x14ac:dyDescent="0.3">
      <c r="A243" s="6" t="s">
        <v>2341</v>
      </c>
      <c r="B243" s="5" t="s">
        <v>2090</v>
      </c>
      <c r="C243" s="4" t="s">
        <v>329</v>
      </c>
      <c r="D243" s="4" t="s">
        <v>1327</v>
      </c>
      <c r="N243" s="5">
        <v>77.25</v>
      </c>
      <c r="Q243" s="5" t="str">
        <f>"6281007032315"</f>
        <v>6281007032315</v>
      </c>
    </row>
    <row r="244" spans="1:17" x14ac:dyDescent="0.3">
      <c r="A244" s="6" t="s">
        <v>2342</v>
      </c>
      <c r="B244" s="5" t="s">
        <v>2090</v>
      </c>
      <c r="C244" s="4" t="s">
        <v>330</v>
      </c>
      <c r="D244" s="4" t="s">
        <v>1328</v>
      </c>
      <c r="N244" s="5">
        <v>13</v>
      </c>
      <c r="Q244" s="5" t="str">
        <f>"5760466852166"</f>
        <v>5760466852166</v>
      </c>
    </row>
    <row r="245" spans="1:17" x14ac:dyDescent="0.3">
      <c r="A245" s="6" t="s">
        <v>2343</v>
      </c>
      <c r="B245" s="5" t="s">
        <v>2090</v>
      </c>
      <c r="C245" s="4" t="s">
        <v>331</v>
      </c>
      <c r="D245" s="4" t="s">
        <v>1329</v>
      </c>
      <c r="N245" s="5">
        <v>6.5</v>
      </c>
      <c r="Q245" s="5" t="str">
        <f>"6281007032285"</f>
        <v>6281007032285</v>
      </c>
    </row>
    <row r="246" spans="1:17" x14ac:dyDescent="0.3">
      <c r="A246" s="6" t="s">
        <v>2344</v>
      </c>
      <c r="B246" s="5" t="s">
        <v>2090</v>
      </c>
      <c r="C246" s="4" t="s">
        <v>332</v>
      </c>
      <c r="D246" s="4" t="s">
        <v>1330</v>
      </c>
      <c r="N246" s="5">
        <v>15.95</v>
      </c>
      <c r="Q246" s="5" t="str">
        <f>"6297000670249"</f>
        <v>6297000670249</v>
      </c>
    </row>
    <row r="247" spans="1:17" x14ac:dyDescent="0.3">
      <c r="A247" s="6" t="s">
        <v>2345</v>
      </c>
      <c r="B247" s="5" t="s">
        <v>2090</v>
      </c>
      <c r="C247" s="4" t="s">
        <v>333</v>
      </c>
      <c r="D247" s="4" t="s">
        <v>1331</v>
      </c>
      <c r="N247" s="5">
        <v>10.95</v>
      </c>
      <c r="Q247" s="5" t="str">
        <f>"6281057006472"</f>
        <v>6281057006472</v>
      </c>
    </row>
    <row r="248" spans="1:17" x14ac:dyDescent="0.3">
      <c r="A248" s="6" t="s">
        <v>2346</v>
      </c>
      <c r="B248" s="5" t="s">
        <v>2090</v>
      </c>
      <c r="C248" s="4" t="s">
        <v>334</v>
      </c>
      <c r="D248" s="4" t="s">
        <v>1332</v>
      </c>
      <c r="N248" s="5">
        <v>37.25</v>
      </c>
      <c r="Q248" s="5" t="str">
        <f>"6281022153330"</f>
        <v>6281022153330</v>
      </c>
    </row>
    <row r="249" spans="1:17" x14ac:dyDescent="0.3">
      <c r="A249" s="6" t="s">
        <v>2347</v>
      </c>
      <c r="B249" s="5" t="s">
        <v>2090</v>
      </c>
      <c r="C249" s="4" t="s">
        <v>335</v>
      </c>
      <c r="D249" s="4" t="s">
        <v>1333</v>
      </c>
      <c r="N249" s="5">
        <v>23.25</v>
      </c>
      <c r="Q249" s="5" t="str">
        <f>"6281007303989"</f>
        <v>6281007303989</v>
      </c>
    </row>
    <row r="250" spans="1:17" x14ac:dyDescent="0.3">
      <c r="A250" s="6" t="s">
        <v>2348</v>
      </c>
      <c r="B250" s="5" t="s">
        <v>2090</v>
      </c>
      <c r="C250" s="4" t="s">
        <v>336</v>
      </c>
      <c r="D250" s="4" t="s">
        <v>1334</v>
      </c>
      <c r="N250" s="5">
        <v>2</v>
      </c>
      <c r="Q250" s="5" t="str">
        <f>"6281022130393"</f>
        <v>6281022130393</v>
      </c>
    </row>
    <row r="251" spans="1:17" x14ac:dyDescent="0.3">
      <c r="A251" s="6" t="s">
        <v>2349</v>
      </c>
      <c r="B251" s="5" t="s">
        <v>2090</v>
      </c>
      <c r="C251" s="4" t="s">
        <v>337</v>
      </c>
      <c r="D251" s="4" t="s">
        <v>1335</v>
      </c>
      <c r="N251" s="5">
        <v>21.95</v>
      </c>
      <c r="Q251" s="5" t="str">
        <f>"2140302000006"</f>
        <v>2140302000006</v>
      </c>
    </row>
    <row r="252" spans="1:17" x14ac:dyDescent="0.3">
      <c r="A252" s="6" t="s">
        <v>2350</v>
      </c>
      <c r="B252" s="5" t="s">
        <v>2090</v>
      </c>
      <c r="C252" s="4" t="s">
        <v>338</v>
      </c>
      <c r="D252" s="4" t="s">
        <v>1336</v>
      </c>
      <c r="N252" s="5">
        <v>28.95</v>
      </c>
      <c r="Q252" s="5" t="str">
        <f>"2140487000006"</f>
        <v>2140487000006</v>
      </c>
    </row>
    <row r="253" spans="1:17" x14ac:dyDescent="0.3">
      <c r="A253" s="6" t="s">
        <v>2351</v>
      </c>
      <c r="B253" s="5" t="s">
        <v>2090</v>
      </c>
      <c r="C253" s="4" t="s">
        <v>339</v>
      </c>
      <c r="D253" s="4" t="s">
        <v>1337</v>
      </c>
      <c r="N253" s="5">
        <v>11.25</v>
      </c>
      <c r="Q253" s="5" t="str">
        <f>"6281007169202"</f>
        <v>6281007169202</v>
      </c>
    </row>
    <row r="254" spans="1:17" x14ac:dyDescent="0.3">
      <c r="A254" s="6" t="s">
        <v>2352</v>
      </c>
      <c r="B254" s="5" t="s">
        <v>2090</v>
      </c>
      <c r="C254" s="4" t="s">
        <v>340</v>
      </c>
      <c r="D254" s="4" t="s">
        <v>1338</v>
      </c>
      <c r="N254" s="5">
        <v>17.5</v>
      </c>
      <c r="Q254" s="5" t="str">
        <f>"5711953032929"</f>
        <v>5711953032929</v>
      </c>
    </row>
    <row r="255" spans="1:17" x14ac:dyDescent="0.3">
      <c r="A255" s="6" t="s">
        <v>2353</v>
      </c>
      <c r="B255" s="5" t="s">
        <v>2090</v>
      </c>
      <c r="C255" s="4" t="s">
        <v>341</v>
      </c>
      <c r="D255" s="4" t="s">
        <v>1339</v>
      </c>
      <c r="N255" s="5">
        <v>24.5</v>
      </c>
      <c r="Q255" s="5" t="str">
        <f>"6281007036214"</f>
        <v>6281007036214</v>
      </c>
    </row>
    <row r="256" spans="1:17" x14ac:dyDescent="0.3">
      <c r="A256" s="6" t="s">
        <v>2354</v>
      </c>
      <c r="B256" s="5" t="s">
        <v>2090</v>
      </c>
      <c r="C256" s="4" t="s">
        <v>342</v>
      </c>
      <c r="D256" s="4" t="s">
        <v>1340</v>
      </c>
      <c r="N256" s="5">
        <v>2.5</v>
      </c>
      <c r="Q256" s="5" t="str">
        <f>"6281022118308"</f>
        <v>6281022118308</v>
      </c>
    </row>
    <row r="257" spans="1:17" x14ac:dyDescent="0.3">
      <c r="A257" s="6" t="s">
        <v>2355</v>
      </c>
      <c r="B257" s="5" t="s">
        <v>2090</v>
      </c>
      <c r="C257" s="4" t="s">
        <v>343</v>
      </c>
      <c r="D257" s="4" t="s">
        <v>1341</v>
      </c>
      <c r="N257" s="5">
        <v>19.95</v>
      </c>
      <c r="Q257" s="5" t="str">
        <f>"6281007037112"</f>
        <v>6281007037112</v>
      </c>
    </row>
    <row r="258" spans="1:17" x14ac:dyDescent="0.3">
      <c r="A258" s="6" t="s">
        <v>2356</v>
      </c>
      <c r="B258" s="5" t="s">
        <v>2090</v>
      </c>
      <c r="C258" s="4" t="s">
        <v>344</v>
      </c>
      <c r="D258" s="4" t="s">
        <v>1342</v>
      </c>
      <c r="N258" s="5">
        <v>2</v>
      </c>
      <c r="Q258" s="5" t="str">
        <f>"6281007023504"</f>
        <v>6281007023504</v>
      </c>
    </row>
    <row r="259" spans="1:17" x14ac:dyDescent="0.3">
      <c r="A259" s="6" t="s">
        <v>2357</v>
      </c>
      <c r="B259" s="5" t="s">
        <v>2090</v>
      </c>
      <c r="C259" s="4" t="s">
        <v>345</v>
      </c>
      <c r="D259" s="4" t="s">
        <v>1343</v>
      </c>
      <c r="N259" s="5">
        <v>16.25</v>
      </c>
      <c r="Q259" s="5" t="str">
        <f>"21438000073"</f>
        <v>21438000073</v>
      </c>
    </row>
    <row r="260" spans="1:17" x14ac:dyDescent="0.3">
      <c r="A260" s="6" t="s">
        <v>2358</v>
      </c>
      <c r="B260" s="5" t="s">
        <v>2090</v>
      </c>
      <c r="C260" s="4" t="s">
        <v>346</v>
      </c>
      <c r="D260" s="4" t="s">
        <v>1344</v>
      </c>
      <c r="N260" s="5">
        <v>35.5</v>
      </c>
      <c r="Q260" s="5" t="str">
        <f>"6281024110737"</f>
        <v>6281024110737</v>
      </c>
    </row>
    <row r="261" spans="1:17" x14ac:dyDescent="0.3">
      <c r="A261" s="6" t="s">
        <v>2359</v>
      </c>
      <c r="B261" s="5" t="s">
        <v>2090</v>
      </c>
      <c r="C261" s="4" t="s">
        <v>347</v>
      </c>
      <c r="D261" s="4" t="s">
        <v>1345</v>
      </c>
      <c r="N261" s="5">
        <v>7.75</v>
      </c>
      <c r="Q261" s="5" t="str">
        <f>"6281007046077"</f>
        <v>6281007046077</v>
      </c>
    </row>
    <row r="262" spans="1:17" x14ac:dyDescent="0.3">
      <c r="A262" s="6" t="s">
        <v>2360</v>
      </c>
      <c r="B262" s="5" t="s">
        <v>2090</v>
      </c>
      <c r="C262" s="4" t="s">
        <v>348</v>
      </c>
      <c r="D262" s="4" t="s">
        <v>1346</v>
      </c>
      <c r="N262" s="5">
        <v>17.5</v>
      </c>
      <c r="Q262" s="5" t="str">
        <f>"6281007033176"</f>
        <v>6281007033176</v>
      </c>
    </row>
    <row r="263" spans="1:17" x14ac:dyDescent="0.3">
      <c r="A263" s="6" t="s">
        <v>2361</v>
      </c>
      <c r="B263" s="5" t="s">
        <v>2090</v>
      </c>
      <c r="C263" s="4" t="s">
        <v>349</v>
      </c>
      <c r="D263" s="4" t="s">
        <v>1347</v>
      </c>
      <c r="N263" s="5">
        <v>16.95</v>
      </c>
      <c r="Q263" s="5" t="str">
        <f>"6281007070577"</f>
        <v>6281007070577</v>
      </c>
    </row>
    <row r="264" spans="1:17" x14ac:dyDescent="0.3">
      <c r="A264" s="6" t="s">
        <v>2362</v>
      </c>
      <c r="B264" s="5" t="s">
        <v>2090</v>
      </c>
      <c r="C264" s="4" t="s">
        <v>350</v>
      </c>
      <c r="D264" s="4" t="s">
        <v>1348</v>
      </c>
      <c r="N264" s="5">
        <v>6.5</v>
      </c>
      <c r="Q264" s="5" t="str">
        <f>"6281022180312"</f>
        <v>6281022180312</v>
      </c>
    </row>
    <row r="265" spans="1:17" x14ac:dyDescent="0.3">
      <c r="A265" s="6" t="s">
        <v>2363</v>
      </c>
      <c r="B265" s="5" t="s">
        <v>2090</v>
      </c>
      <c r="C265" s="4" t="s">
        <v>351</v>
      </c>
      <c r="D265" s="4" t="s">
        <v>1349</v>
      </c>
      <c r="N265" s="5">
        <v>19.75</v>
      </c>
      <c r="Q265" s="5" t="str">
        <f>"6281100504009"</f>
        <v>6281100504009</v>
      </c>
    </row>
    <row r="266" spans="1:17" x14ac:dyDescent="0.3">
      <c r="A266" s="6" t="s">
        <v>2364</v>
      </c>
      <c r="B266" s="5" t="s">
        <v>2090</v>
      </c>
      <c r="C266" s="4" t="s">
        <v>352</v>
      </c>
      <c r="D266" s="4" t="s">
        <v>1350</v>
      </c>
      <c r="N266" s="5">
        <v>26.75</v>
      </c>
      <c r="Q266" s="5" t="str">
        <f>"6281100503835"</f>
        <v>6281100503835</v>
      </c>
    </row>
    <row r="267" spans="1:17" x14ac:dyDescent="0.3">
      <c r="A267" s="6" t="s">
        <v>2365</v>
      </c>
      <c r="B267" s="5" t="s">
        <v>2090</v>
      </c>
      <c r="C267" s="4" t="s">
        <v>353</v>
      </c>
      <c r="D267" s="4" t="s">
        <v>1351</v>
      </c>
      <c r="N267" s="5">
        <v>22.25</v>
      </c>
      <c r="Q267" s="5" t="str">
        <f>"8710912008767"</f>
        <v>8710912008767</v>
      </c>
    </row>
    <row r="268" spans="1:17" x14ac:dyDescent="0.3">
      <c r="A268" s="6" t="s">
        <v>2366</v>
      </c>
      <c r="B268" s="5" t="s">
        <v>2090</v>
      </c>
      <c r="C268" s="4" t="s">
        <v>354</v>
      </c>
      <c r="D268" s="4" t="s">
        <v>1352</v>
      </c>
      <c r="N268" s="5">
        <v>35.950000000000003</v>
      </c>
      <c r="Q268" s="5" t="str">
        <f>"6281007032728"</f>
        <v>6281007032728</v>
      </c>
    </row>
    <row r="269" spans="1:17" x14ac:dyDescent="0.3">
      <c r="A269" s="6" t="s">
        <v>2367</v>
      </c>
      <c r="B269" s="5" t="s">
        <v>2090</v>
      </c>
      <c r="C269" s="4" t="s">
        <v>355</v>
      </c>
      <c r="D269" s="4" t="s">
        <v>1353</v>
      </c>
      <c r="N269" s="5">
        <v>15</v>
      </c>
      <c r="Q269" s="5" t="str">
        <f>"6281022132267"</f>
        <v>6281022132267</v>
      </c>
    </row>
    <row r="270" spans="1:17" x14ac:dyDescent="0.3">
      <c r="A270" s="6" t="s">
        <v>2368</v>
      </c>
      <c r="B270" s="5" t="s">
        <v>2090</v>
      </c>
      <c r="C270" s="4" t="s">
        <v>356</v>
      </c>
      <c r="D270" s="4" t="s">
        <v>1354</v>
      </c>
      <c r="N270" s="5">
        <v>49</v>
      </c>
      <c r="Q270" s="5" t="str">
        <f>"6281007044431"</f>
        <v>6281007044431</v>
      </c>
    </row>
    <row r="271" spans="1:17" x14ac:dyDescent="0.3">
      <c r="A271" s="6" t="s">
        <v>2369</v>
      </c>
      <c r="B271" s="5" t="s">
        <v>2090</v>
      </c>
      <c r="C271" s="4" t="s">
        <v>357</v>
      </c>
      <c r="D271" s="4" t="s">
        <v>1355</v>
      </c>
      <c r="N271" s="5">
        <v>14.5</v>
      </c>
      <c r="Q271" s="5" t="str">
        <f>"6281007063081"</f>
        <v>6281007063081</v>
      </c>
    </row>
    <row r="272" spans="1:17" x14ac:dyDescent="0.3">
      <c r="A272" s="6" t="s">
        <v>2370</v>
      </c>
      <c r="B272" s="5" t="s">
        <v>2090</v>
      </c>
      <c r="C272" s="4" t="s">
        <v>358</v>
      </c>
      <c r="D272" s="4" t="s">
        <v>1356</v>
      </c>
      <c r="N272" s="5">
        <v>15.75</v>
      </c>
      <c r="Q272" s="5" t="str">
        <f>"5740900861305"</f>
        <v>5740900861305</v>
      </c>
    </row>
    <row r="273" spans="1:17" x14ac:dyDescent="0.3">
      <c r="A273" s="6" t="s">
        <v>2371</v>
      </c>
      <c r="B273" s="5" t="s">
        <v>2090</v>
      </c>
      <c r="C273" s="4" t="s">
        <v>359</v>
      </c>
      <c r="D273" s="4" t="s">
        <v>1357</v>
      </c>
      <c r="N273" s="5">
        <v>49.5</v>
      </c>
      <c r="Q273" s="5" t="str">
        <f>"6281039122336"</f>
        <v>6281039122336</v>
      </c>
    </row>
    <row r="274" spans="1:17" x14ac:dyDescent="0.3">
      <c r="A274" s="6" t="s">
        <v>2372</v>
      </c>
      <c r="B274" s="5" t="s">
        <v>2090</v>
      </c>
      <c r="C274" s="4" t="s">
        <v>360</v>
      </c>
      <c r="D274" s="4" t="s">
        <v>1358</v>
      </c>
      <c r="N274" s="5">
        <v>2.5</v>
      </c>
      <c r="Q274" s="5" t="str">
        <f>"6281022118421"</f>
        <v>6281022118421</v>
      </c>
    </row>
    <row r="275" spans="1:17" x14ac:dyDescent="0.3">
      <c r="A275" s="6" t="s">
        <v>2373</v>
      </c>
      <c r="B275" s="5" t="s">
        <v>2090</v>
      </c>
      <c r="C275" s="4" t="s">
        <v>361</v>
      </c>
      <c r="D275" s="4" t="s">
        <v>1359</v>
      </c>
      <c r="N275" s="5">
        <v>2.5</v>
      </c>
      <c r="Q275" s="5" t="str">
        <f>"6281022118254"</f>
        <v>6281022118254</v>
      </c>
    </row>
    <row r="276" spans="1:17" x14ac:dyDescent="0.3">
      <c r="A276" s="6" t="s">
        <v>2374</v>
      </c>
      <c r="B276" s="5" t="s">
        <v>2090</v>
      </c>
      <c r="C276" s="4" t="s">
        <v>362</v>
      </c>
      <c r="D276" s="4" t="s">
        <v>1360</v>
      </c>
      <c r="N276" s="5">
        <v>16.75</v>
      </c>
      <c r="Q276" s="5" t="str">
        <f>"8692041000907"</f>
        <v>8692041000907</v>
      </c>
    </row>
    <row r="277" spans="1:17" x14ac:dyDescent="0.3">
      <c r="A277" s="6" t="s">
        <v>2375</v>
      </c>
      <c r="B277" s="5" t="s">
        <v>2090</v>
      </c>
      <c r="C277" s="4" t="s">
        <v>363</v>
      </c>
      <c r="D277" s="4" t="s">
        <v>1361</v>
      </c>
      <c r="N277" s="5">
        <v>69.95</v>
      </c>
      <c r="Q277" s="5" t="str">
        <f>"2148380000000"</f>
        <v>2148380000000</v>
      </c>
    </row>
    <row r="278" spans="1:17" x14ac:dyDescent="0.3">
      <c r="A278" s="6" t="s">
        <v>2376</v>
      </c>
      <c r="B278" s="5" t="s">
        <v>2090</v>
      </c>
      <c r="C278" s="4" t="s">
        <v>364</v>
      </c>
      <c r="D278" s="4" t="s">
        <v>1362</v>
      </c>
      <c r="N278" s="5">
        <v>96.95</v>
      </c>
      <c r="Q278" s="5" t="str">
        <f>"2140542000002"</f>
        <v>2140542000002</v>
      </c>
    </row>
    <row r="279" spans="1:17" x14ac:dyDescent="0.3">
      <c r="A279" s="6" t="s">
        <v>2377</v>
      </c>
      <c r="B279" s="5" t="s">
        <v>2090</v>
      </c>
      <c r="C279" s="4" t="s">
        <v>365</v>
      </c>
      <c r="D279" s="4" t="s">
        <v>1363</v>
      </c>
      <c r="N279" s="5">
        <v>7.75</v>
      </c>
      <c r="Q279" s="5" t="str">
        <f>"6281007046060"</f>
        <v>6281007046060</v>
      </c>
    </row>
    <row r="280" spans="1:17" x14ac:dyDescent="0.3">
      <c r="A280" s="6" t="s">
        <v>2378</v>
      </c>
      <c r="B280" s="5" t="s">
        <v>2090</v>
      </c>
      <c r="C280" s="4" t="s">
        <v>366</v>
      </c>
      <c r="D280" s="4" t="s">
        <v>1364</v>
      </c>
      <c r="N280" s="5">
        <v>10</v>
      </c>
      <c r="Q280" s="5" t="str">
        <f>"6281022132472"</f>
        <v>6281022132472</v>
      </c>
    </row>
    <row r="281" spans="1:17" x14ac:dyDescent="0.3">
      <c r="A281" s="6" t="s">
        <v>2379</v>
      </c>
      <c r="B281" s="5" t="s">
        <v>2090</v>
      </c>
      <c r="C281" s="4" t="s">
        <v>367</v>
      </c>
      <c r="D281" s="4" t="s">
        <v>1365</v>
      </c>
      <c r="N281" s="5">
        <v>22.5</v>
      </c>
      <c r="Q281" s="5" t="str">
        <f>"6287004520091"</f>
        <v>6287004520091</v>
      </c>
    </row>
    <row r="282" spans="1:17" x14ac:dyDescent="0.3">
      <c r="A282" s="6" t="s">
        <v>2380</v>
      </c>
      <c r="B282" s="5" t="s">
        <v>2090</v>
      </c>
      <c r="C282" s="4" t="s">
        <v>368</v>
      </c>
      <c r="D282" s="4" t="s">
        <v>1366</v>
      </c>
      <c r="N282" s="5">
        <v>26.25</v>
      </c>
      <c r="Q282" s="5" t="str">
        <f>"6281057081103"</f>
        <v>6281057081103</v>
      </c>
    </row>
    <row r="283" spans="1:17" x14ac:dyDescent="0.3">
      <c r="A283" s="6" t="s">
        <v>2381</v>
      </c>
      <c r="B283" s="5" t="s">
        <v>2090</v>
      </c>
      <c r="C283" s="4" t="s">
        <v>369</v>
      </c>
      <c r="D283" s="4" t="s">
        <v>1367</v>
      </c>
      <c r="N283" s="5">
        <v>24</v>
      </c>
      <c r="Q283" s="5" t="str">
        <f>"6281018322993"</f>
        <v>6281018322993</v>
      </c>
    </row>
    <row r="284" spans="1:17" x14ac:dyDescent="0.3">
      <c r="A284" s="6" t="s">
        <v>2382</v>
      </c>
      <c r="B284" s="5" t="s">
        <v>2090</v>
      </c>
      <c r="C284" s="4" t="s">
        <v>370</v>
      </c>
      <c r="D284" s="4" t="s">
        <v>1368</v>
      </c>
      <c r="N284" s="5">
        <v>19.5</v>
      </c>
      <c r="Q284" s="5" t="str">
        <f>"5290036003280"</f>
        <v>5290036003280</v>
      </c>
    </row>
    <row r="285" spans="1:17" x14ac:dyDescent="0.3">
      <c r="A285" s="6" t="s">
        <v>2383</v>
      </c>
      <c r="B285" s="5" t="s">
        <v>2090</v>
      </c>
      <c r="C285" s="4" t="s">
        <v>371</v>
      </c>
      <c r="D285" s="4" t="s">
        <v>1369</v>
      </c>
      <c r="N285" s="5">
        <v>32</v>
      </c>
      <c r="Q285" s="5" t="str">
        <f>"6281039174137"</f>
        <v>6281039174137</v>
      </c>
    </row>
    <row r="286" spans="1:17" x14ac:dyDescent="0.3">
      <c r="A286" s="6" t="s">
        <v>2384</v>
      </c>
      <c r="B286" s="5" t="s">
        <v>2090</v>
      </c>
      <c r="C286" s="4" t="s">
        <v>372</v>
      </c>
      <c r="D286" s="4" t="s">
        <v>1370</v>
      </c>
      <c r="N286" s="5">
        <v>15.75</v>
      </c>
      <c r="Q286" s="5" t="str">
        <f>"6281024116678"</f>
        <v>6281024116678</v>
      </c>
    </row>
    <row r="287" spans="1:17" x14ac:dyDescent="0.3">
      <c r="A287" s="6" t="s">
        <v>2385</v>
      </c>
      <c r="B287" s="5" t="s">
        <v>2090</v>
      </c>
      <c r="C287" s="4" t="s">
        <v>373</v>
      </c>
      <c r="D287" s="4" t="s">
        <v>1371</v>
      </c>
      <c r="N287" s="5">
        <v>9.25</v>
      </c>
      <c r="Q287" s="5" t="str">
        <f>"6281024010808"</f>
        <v>6281024010808</v>
      </c>
    </row>
    <row r="288" spans="1:17" x14ac:dyDescent="0.3">
      <c r="A288" s="6" t="s">
        <v>2386</v>
      </c>
      <c r="B288" s="5" t="s">
        <v>2090</v>
      </c>
      <c r="C288" s="4" t="s">
        <v>374</v>
      </c>
      <c r="D288" s="4" t="s">
        <v>1372</v>
      </c>
      <c r="N288" s="5">
        <v>11</v>
      </c>
      <c r="Q288" s="5" t="str">
        <f>"6281022120226"</f>
        <v>6281022120226</v>
      </c>
    </row>
    <row r="289" spans="1:17" x14ac:dyDescent="0.3">
      <c r="A289" s="6" t="s">
        <v>2387</v>
      </c>
      <c r="B289" s="5" t="s">
        <v>2090</v>
      </c>
      <c r="C289" s="4" t="s">
        <v>375</v>
      </c>
      <c r="D289" s="4" t="s">
        <v>1373</v>
      </c>
      <c r="N289" s="5">
        <v>79.900000000000006</v>
      </c>
      <c r="Q289" s="5" t="str">
        <f>"2140362000008"</f>
        <v>2140362000008</v>
      </c>
    </row>
    <row r="290" spans="1:17" x14ac:dyDescent="0.3">
      <c r="A290" s="6" t="s">
        <v>2388</v>
      </c>
      <c r="B290" s="5" t="s">
        <v>2090</v>
      </c>
      <c r="C290" s="4" t="s">
        <v>376</v>
      </c>
      <c r="D290" s="4" t="s">
        <v>1374</v>
      </c>
      <c r="N290" s="5">
        <v>19.25</v>
      </c>
      <c r="Q290" s="5" t="str">
        <f>"6281048105702"</f>
        <v>6281048105702</v>
      </c>
    </row>
    <row r="291" spans="1:17" x14ac:dyDescent="0.3">
      <c r="A291" s="6" t="s">
        <v>2389</v>
      </c>
      <c r="B291" s="5" t="s">
        <v>2090</v>
      </c>
      <c r="C291" s="4" t="s">
        <v>377</v>
      </c>
      <c r="D291" s="4" t="s">
        <v>1375</v>
      </c>
      <c r="N291" s="5">
        <v>15.95</v>
      </c>
      <c r="Q291" s="5" t="str">
        <f>"6297000670263"</f>
        <v>6297000670263</v>
      </c>
    </row>
    <row r="292" spans="1:17" x14ac:dyDescent="0.3">
      <c r="A292" s="6" t="s">
        <v>2390</v>
      </c>
      <c r="B292" s="5" t="s">
        <v>2090</v>
      </c>
      <c r="C292" s="4" t="s">
        <v>378</v>
      </c>
      <c r="D292" s="4" t="s">
        <v>1376</v>
      </c>
      <c r="N292" s="5">
        <v>42.95</v>
      </c>
      <c r="Q292" s="5" t="str">
        <f>"6281018169413"</f>
        <v>6281018169413</v>
      </c>
    </row>
    <row r="293" spans="1:17" x14ac:dyDescent="0.3">
      <c r="A293" s="6" t="s">
        <v>2391</v>
      </c>
      <c r="B293" s="5" t="s">
        <v>2090</v>
      </c>
      <c r="C293" s="4" t="s">
        <v>379</v>
      </c>
      <c r="D293" s="4" t="s">
        <v>1377</v>
      </c>
      <c r="N293" s="5">
        <v>31</v>
      </c>
      <c r="Q293" s="5" t="str">
        <f>"6281039172331"</f>
        <v>6281039172331</v>
      </c>
    </row>
    <row r="294" spans="1:17" x14ac:dyDescent="0.3">
      <c r="A294" s="6" t="s">
        <v>2392</v>
      </c>
      <c r="B294" s="5" t="s">
        <v>2090</v>
      </c>
      <c r="C294" s="4" t="s">
        <v>380</v>
      </c>
      <c r="D294" s="4" t="s">
        <v>1378</v>
      </c>
      <c r="N294" s="5">
        <v>87.95</v>
      </c>
      <c r="Q294" s="5" t="str">
        <f>"2143183000004"</f>
        <v>2143183000004</v>
      </c>
    </row>
    <row r="295" spans="1:17" x14ac:dyDescent="0.3">
      <c r="A295" s="6" t="s">
        <v>2393</v>
      </c>
      <c r="B295" s="5" t="s">
        <v>2090</v>
      </c>
      <c r="C295" s="4" t="s">
        <v>381</v>
      </c>
      <c r="D295" s="4" t="s">
        <v>1379</v>
      </c>
      <c r="N295" s="5">
        <v>34</v>
      </c>
      <c r="Q295" s="5" t="str">
        <f>"6281007045698"</f>
        <v>6281007045698</v>
      </c>
    </row>
    <row r="296" spans="1:17" x14ac:dyDescent="0.3">
      <c r="A296" s="6" t="s">
        <v>2394</v>
      </c>
      <c r="B296" s="5" t="s">
        <v>2090</v>
      </c>
      <c r="C296" s="4" t="s">
        <v>382</v>
      </c>
      <c r="D296" s="4" t="s">
        <v>1380</v>
      </c>
      <c r="N296" s="5">
        <v>14.95</v>
      </c>
      <c r="Q296" s="5" t="str">
        <f>"6281007026017"</f>
        <v>6281007026017</v>
      </c>
    </row>
    <row r="297" spans="1:17" x14ac:dyDescent="0.3">
      <c r="A297" s="6" t="s">
        <v>2395</v>
      </c>
      <c r="B297" s="5" t="s">
        <v>2090</v>
      </c>
      <c r="C297" s="4" t="s">
        <v>383</v>
      </c>
      <c r="D297" s="4" t="s">
        <v>1381</v>
      </c>
      <c r="N297" s="5">
        <v>48.25</v>
      </c>
      <c r="Q297" s="5" t="str">
        <f>"3451790802249"</f>
        <v>3451790802249</v>
      </c>
    </row>
    <row r="298" spans="1:17" x14ac:dyDescent="0.3">
      <c r="A298" s="6" t="s">
        <v>2396</v>
      </c>
      <c r="B298" s="5" t="s">
        <v>2090</v>
      </c>
      <c r="C298" s="4" t="s">
        <v>384</v>
      </c>
      <c r="D298" s="4" t="s">
        <v>1382</v>
      </c>
      <c r="N298" s="5">
        <v>87.95</v>
      </c>
      <c r="Q298" s="5" t="str">
        <f>"2140305000003"</f>
        <v>2140305000003</v>
      </c>
    </row>
    <row r="299" spans="1:17" x14ac:dyDescent="0.3">
      <c r="A299" s="6" t="s">
        <v>2397</v>
      </c>
      <c r="B299" s="5" t="s">
        <v>2090</v>
      </c>
      <c r="C299" s="4" t="s">
        <v>385</v>
      </c>
      <c r="D299" s="4" t="s">
        <v>1383</v>
      </c>
      <c r="N299" s="5">
        <v>42.95</v>
      </c>
      <c r="Q299" s="5" t="str">
        <f>"3073781069716"</f>
        <v>3073781069716</v>
      </c>
    </row>
    <row r="300" spans="1:17" x14ac:dyDescent="0.3">
      <c r="A300" s="6" t="s">
        <v>2398</v>
      </c>
      <c r="B300" s="5" t="s">
        <v>2090</v>
      </c>
      <c r="C300" s="4" t="s">
        <v>386</v>
      </c>
      <c r="D300" s="4" t="s">
        <v>1384</v>
      </c>
      <c r="N300" s="5">
        <v>16.5</v>
      </c>
      <c r="Q300" s="5" t="str">
        <f>"6281123054987"</f>
        <v>6281123054987</v>
      </c>
    </row>
    <row r="301" spans="1:17" x14ac:dyDescent="0.3">
      <c r="A301" s="6" t="s">
        <v>2399</v>
      </c>
      <c r="B301" s="5" t="s">
        <v>2090</v>
      </c>
      <c r="C301" s="4" t="s">
        <v>387</v>
      </c>
      <c r="D301" s="4" t="s">
        <v>1385</v>
      </c>
      <c r="N301" s="5">
        <v>13</v>
      </c>
      <c r="Q301" s="5" t="str">
        <f>"8710912008811"</f>
        <v>8710912008811</v>
      </c>
    </row>
    <row r="302" spans="1:17" x14ac:dyDescent="0.3">
      <c r="A302" s="6" t="s">
        <v>2400</v>
      </c>
      <c r="B302" s="5" t="s">
        <v>2090</v>
      </c>
      <c r="C302" s="4" t="s">
        <v>388</v>
      </c>
      <c r="D302" s="4" t="s">
        <v>1386</v>
      </c>
      <c r="N302" s="5">
        <v>65.95</v>
      </c>
      <c r="Q302" s="5" t="str">
        <f>"2142671000007"</f>
        <v>2142671000007</v>
      </c>
    </row>
    <row r="303" spans="1:17" x14ac:dyDescent="0.3">
      <c r="A303" s="6" t="s">
        <v>2401</v>
      </c>
      <c r="B303" s="5" t="s">
        <v>2090</v>
      </c>
      <c r="C303" s="4" t="s">
        <v>389</v>
      </c>
      <c r="D303" s="4" t="s">
        <v>1387</v>
      </c>
      <c r="N303" s="5">
        <v>17.5</v>
      </c>
      <c r="Q303" s="5" t="str">
        <f>"5711953023095"</f>
        <v>5711953023095</v>
      </c>
    </row>
    <row r="304" spans="1:17" x14ac:dyDescent="0.3">
      <c r="A304" s="6" t="s">
        <v>2402</v>
      </c>
      <c r="B304" s="5" t="s">
        <v>2090</v>
      </c>
      <c r="C304" s="4" t="s">
        <v>390</v>
      </c>
      <c r="D304" s="4" t="s">
        <v>1388</v>
      </c>
      <c r="N304" s="5">
        <v>23.5</v>
      </c>
      <c r="Q304" s="5" t="str">
        <f>"6281048107188"</f>
        <v>6281048107188</v>
      </c>
    </row>
    <row r="305" spans="1:17" x14ac:dyDescent="0.3">
      <c r="A305" s="6" t="s">
        <v>2403</v>
      </c>
      <c r="B305" s="5" t="s">
        <v>2090</v>
      </c>
      <c r="C305" s="4" t="s">
        <v>391</v>
      </c>
      <c r="D305" s="4" t="s">
        <v>1389</v>
      </c>
      <c r="N305" s="5">
        <v>76.25</v>
      </c>
      <c r="Q305" s="5" t="str">
        <f>"6281057012053"</f>
        <v>6281057012053</v>
      </c>
    </row>
    <row r="306" spans="1:17" x14ac:dyDescent="0.3">
      <c r="A306" s="6" t="s">
        <v>2404</v>
      </c>
      <c r="B306" s="5" t="s">
        <v>2090</v>
      </c>
      <c r="C306" s="4" t="s">
        <v>392</v>
      </c>
      <c r="D306" s="4" t="s">
        <v>1390</v>
      </c>
      <c r="N306" s="5">
        <v>23.25</v>
      </c>
      <c r="Q306" s="5" t="str">
        <f>"6281026121410"</f>
        <v>6281026121410</v>
      </c>
    </row>
    <row r="307" spans="1:17" x14ac:dyDescent="0.3">
      <c r="A307" s="6" t="s">
        <v>2405</v>
      </c>
      <c r="B307" s="5" t="s">
        <v>2090</v>
      </c>
      <c r="C307" s="4" t="s">
        <v>393</v>
      </c>
      <c r="D307" s="4" t="s">
        <v>1391</v>
      </c>
      <c r="N307" s="5">
        <v>16.95</v>
      </c>
      <c r="Q307" s="5" t="str">
        <f>"6281007070560"</f>
        <v>6281007070560</v>
      </c>
    </row>
    <row r="308" spans="1:17" x14ac:dyDescent="0.3">
      <c r="A308" s="6" t="s">
        <v>2406</v>
      </c>
      <c r="B308" s="5" t="s">
        <v>2090</v>
      </c>
      <c r="C308" s="4" t="s">
        <v>394</v>
      </c>
      <c r="D308" s="4" t="s">
        <v>1392</v>
      </c>
      <c r="N308" s="5">
        <v>9.75</v>
      </c>
      <c r="Q308" s="5" t="str">
        <f>"6281057003365"</f>
        <v>6281057003365</v>
      </c>
    </row>
    <row r="309" spans="1:17" x14ac:dyDescent="0.3">
      <c r="A309" s="6" t="s">
        <v>2407</v>
      </c>
      <c r="B309" s="5" t="s">
        <v>2090</v>
      </c>
      <c r="C309" s="4" t="s">
        <v>395</v>
      </c>
      <c r="D309" s="4" t="s">
        <v>1393</v>
      </c>
      <c r="N309" s="5">
        <v>22.75</v>
      </c>
      <c r="Q309" s="5" t="str">
        <f>"6281022167306"</f>
        <v>6281022167306</v>
      </c>
    </row>
    <row r="310" spans="1:17" x14ac:dyDescent="0.3">
      <c r="A310" s="6" t="s">
        <v>2408</v>
      </c>
      <c r="B310" s="5" t="s">
        <v>2090</v>
      </c>
      <c r="C310" s="4" t="s">
        <v>396</v>
      </c>
      <c r="D310" s="4" t="s">
        <v>1394</v>
      </c>
      <c r="N310" s="5">
        <v>14.95</v>
      </c>
      <c r="Q310" s="5" t="str">
        <f>"5711953031144"</f>
        <v>5711953031144</v>
      </c>
    </row>
    <row r="311" spans="1:17" x14ac:dyDescent="0.3">
      <c r="A311" s="6" t="s">
        <v>2409</v>
      </c>
      <c r="B311" s="5" t="s">
        <v>2090</v>
      </c>
      <c r="C311" s="4" t="s">
        <v>397</v>
      </c>
      <c r="D311" s="4" t="s">
        <v>1395</v>
      </c>
      <c r="N311" s="5">
        <v>5.25</v>
      </c>
      <c r="Q311" s="5" t="str">
        <f>"6281024017593"</f>
        <v>6281024017593</v>
      </c>
    </row>
    <row r="312" spans="1:17" x14ac:dyDescent="0.3">
      <c r="A312" s="6" t="s">
        <v>2410</v>
      </c>
      <c r="B312" s="5" t="s">
        <v>2090</v>
      </c>
      <c r="C312" s="4" t="s">
        <v>398</v>
      </c>
      <c r="D312" s="4" t="s">
        <v>1396</v>
      </c>
      <c r="N312" s="5">
        <v>19.75</v>
      </c>
      <c r="Q312" s="5" t="str">
        <f>"6281051004269"</f>
        <v>6281051004269</v>
      </c>
    </row>
    <row r="313" spans="1:17" x14ac:dyDescent="0.3">
      <c r="A313" s="6" t="s">
        <v>2411</v>
      </c>
      <c r="B313" s="5" t="s">
        <v>2090</v>
      </c>
      <c r="C313" s="4" t="s">
        <v>399</v>
      </c>
      <c r="D313" s="4" t="s">
        <v>1397</v>
      </c>
      <c r="N313" s="5">
        <v>10.25</v>
      </c>
      <c r="Q313" s="5" t="str">
        <f>"6281039105568"</f>
        <v>6281039105568</v>
      </c>
    </row>
    <row r="314" spans="1:17" x14ac:dyDescent="0.3">
      <c r="A314" s="6" t="s">
        <v>2412</v>
      </c>
      <c r="B314" s="5" t="s">
        <v>2090</v>
      </c>
      <c r="C314" s="4" t="s">
        <v>400</v>
      </c>
      <c r="D314" s="4" t="s">
        <v>1398</v>
      </c>
      <c r="N314" s="5">
        <v>2.25</v>
      </c>
      <c r="Q314" s="5" t="str">
        <f>"6281007032834"</f>
        <v>6281007032834</v>
      </c>
    </row>
    <row r="315" spans="1:17" x14ac:dyDescent="0.3">
      <c r="A315" s="6" t="s">
        <v>2413</v>
      </c>
      <c r="B315" s="5" t="s">
        <v>2090</v>
      </c>
      <c r="C315" s="4" t="s">
        <v>401</v>
      </c>
      <c r="D315" s="4" t="s">
        <v>1399</v>
      </c>
      <c r="N315" s="5">
        <v>5</v>
      </c>
      <c r="Q315" s="5" t="str">
        <f>"6281057002597"</f>
        <v>6281057002597</v>
      </c>
    </row>
    <row r="316" spans="1:17" x14ac:dyDescent="0.3">
      <c r="A316" s="6" t="s">
        <v>2414</v>
      </c>
      <c r="B316" s="5" t="s">
        <v>2090</v>
      </c>
      <c r="C316" s="4" t="s">
        <v>402</v>
      </c>
      <c r="D316" s="4" t="s">
        <v>1400</v>
      </c>
      <c r="N316" s="5">
        <v>14.5</v>
      </c>
      <c r="Q316" s="5" t="str">
        <f>"6281022110630"</f>
        <v>6281022110630</v>
      </c>
    </row>
    <row r="317" spans="1:17" x14ac:dyDescent="0.3">
      <c r="A317" s="6" t="s">
        <v>2415</v>
      </c>
      <c r="B317" s="5" t="s">
        <v>2090</v>
      </c>
      <c r="C317" s="4" t="s">
        <v>403</v>
      </c>
      <c r="D317" s="4" t="s">
        <v>1401</v>
      </c>
      <c r="N317" s="5">
        <v>37.25</v>
      </c>
      <c r="Q317" s="5" t="str">
        <f>"6084012090307"</f>
        <v>6084012090307</v>
      </c>
    </row>
    <row r="318" spans="1:17" x14ac:dyDescent="0.3">
      <c r="A318" s="6" t="s">
        <v>2416</v>
      </c>
      <c r="B318" s="5" t="s">
        <v>2090</v>
      </c>
      <c r="C318" s="4" t="s">
        <v>404</v>
      </c>
      <c r="D318" s="4" t="s">
        <v>1402</v>
      </c>
      <c r="N318" s="5">
        <v>3</v>
      </c>
      <c r="Q318" s="5" t="str">
        <f>"6281007023498"</f>
        <v>6281007023498</v>
      </c>
    </row>
    <row r="319" spans="1:17" x14ac:dyDescent="0.3">
      <c r="A319" s="6" t="s">
        <v>2417</v>
      </c>
      <c r="B319" s="5" t="s">
        <v>2090</v>
      </c>
      <c r="C319" s="4" t="s">
        <v>405</v>
      </c>
      <c r="D319" s="4" t="s">
        <v>1403</v>
      </c>
      <c r="N319" s="5">
        <v>29.95</v>
      </c>
      <c r="Q319" s="5" t="str">
        <f>"6281057001439"</f>
        <v>6281057001439</v>
      </c>
    </row>
    <row r="320" spans="1:17" x14ac:dyDescent="0.3">
      <c r="A320" s="6" t="s">
        <v>2418</v>
      </c>
      <c r="B320" s="5" t="s">
        <v>2090</v>
      </c>
      <c r="C320" s="4" t="s">
        <v>406</v>
      </c>
      <c r="D320" s="4" t="s">
        <v>1404</v>
      </c>
      <c r="N320" s="5">
        <v>2</v>
      </c>
      <c r="Q320" s="5" t="str">
        <f>"6281057001125"</f>
        <v>6281057001125</v>
      </c>
    </row>
    <row r="321" spans="1:17" x14ac:dyDescent="0.3">
      <c r="A321" s="6" t="s">
        <v>2419</v>
      </c>
      <c r="B321" s="5" t="s">
        <v>2090</v>
      </c>
      <c r="C321" s="4" t="s">
        <v>407</v>
      </c>
      <c r="D321" s="4" t="s">
        <v>1405</v>
      </c>
      <c r="N321" s="5">
        <v>33</v>
      </c>
      <c r="Q321" s="5" t="str">
        <f>"6281007036153"</f>
        <v>6281007036153</v>
      </c>
    </row>
    <row r="322" spans="1:17" x14ac:dyDescent="0.3">
      <c r="A322" s="6" t="s">
        <v>2420</v>
      </c>
      <c r="B322" s="5" t="s">
        <v>2090</v>
      </c>
      <c r="C322" s="4" t="s">
        <v>408</v>
      </c>
      <c r="D322" s="4" t="s">
        <v>1406</v>
      </c>
      <c r="N322" s="5">
        <v>15.25</v>
      </c>
      <c r="Q322" s="5" t="str">
        <f>"6281057002979"</f>
        <v>6281057002979</v>
      </c>
    </row>
    <row r="323" spans="1:17" x14ac:dyDescent="0.3">
      <c r="A323" s="6" t="s">
        <v>2421</v>
      </c>
      <c r="B323" s="5" t="s">
        <v>2090</v>
      </c>
      <c r="C323" s="4" t="s">
        <v>409</v>
      </c>
      <c r="D323" s="4" t="s">
        <v>1407</v>
      </c>
      <c r="N323" s="5">
        <v>2.2999999999999998</v>
      </c>
      <c r="Q323" s="5" t="str">
        <f>"6281007034012"</f>
        <v>6281007034012</v>
      </c>
    </row>
    <row r="324" spans="1:17" x14ac:dyDescent="0.3">
      <c r="A324" s="6" t="s">
        <v>2422</v>
      </c>
      <c r="B324" s="5" t="s">
        <v>2090</v>
      </c>
      <c r="C324" s="4" t="s">
        <v>410</v>
      </c>
      <c r="D324" s="4" t="s">
        <v>1408</v>
      </c>
      <c r="N324" s="5">
        <v>21.25</v>
      </c>
      <c r="Q324" s="5" t="str">
        <f>"6281051004245"</f>
        <v>6281051004245</v>
      </c>
    </row>
    <row r="325" spans="1:17" x14ac:dyDescent="0.3">
      <c r="A325" s="6" t="s">
        <v>2423</v>
      </c>
      <c r="B325" s="5" t="s">
        <v>2090</v>
      </c>
      <c r="C325" s="4" t="s">
        <v>411</v>
      </c>
      <c r="D325" s="4" t="s">
        <v>1409</v>
      </c>
      <c r="N325" s="5">
        <v>2.5</v>
      </c>
      <c r="Q325" s="5" t="str">
        <f>"6281022118209"</f>
        <v>6281022118209</v>
      </c>
    </row>
    <row r="326" spans="1:17" x14ac:dyDescent="0.3">
      <c r="A326" s="6" t="s">
        <v>2424</v>
      </c>
      <c r="B326" s="5" t="s">
        <v>2090</v>
      </c>
      <c r="C326" s="4" t="s">
        <v>412</v>
      </c>
      <c r="D326" s="4" t="s">
        <v>1410</v>
      </c>
      <c r="N326" s="5">
        <v>16.95</v>
      </c>
      <c r="Q326" s="5" t="str">
        <f>"2143859000000"</f>
        <v>2143859000000</v>
      </c>
    </row>
    <row r="327" spans="1:17" x14ac:dyDescent="0.3">
      <c r="A327" s="6" t="s">
        <v>2425</v>
      </c>
      <c r="B327" s="5" t="s">
        <v>2090</v>
      </c>
      <c r="C327" s="4" t="s">
        <v>413</v>
      </c>
      <c r="D327" s="4" t="s">
        <v>1411</v>
      </c>
      <c r="N327" s="5">
        <v>28.95</v>
      </c>
      <c r="Q327" s="5" t="str">
        <f>"2142589000007"</f>
        <v>2142589000007</v>
      </c>
    </row>
    <row r="328" spans="1:17" x14ac:dyDescent="0.3">
      <c r="A328" s="6" t="s">
        <v>2426</v>
      </c>
      <c r="B328" s="5" t="s">
        <v>2090</v>
      </c>
      <c r="C328" s="4" t="s">
        <v>414</v>
      </c>
      <c r="D328" s="4" t="s">
        <v>1412</v>
      </c>
      <c r="N328" s="5">
        <v>4.6500000000000004</v>
      </c>
      <c r="Q328" s="5" t="str">
        <f>"6281022151268"</f>
        <v>6281022151268</v>
      </c>
    </row>
    <row r="329" spans="1:17" x14ac:dyDescent="0.3">
      <c r="A329" s="6" t="s">
        <v>2427</v>
      </c>
      <c r="B329" s="5" t="s">
        <v>2090</v>
      </c>
      <c r="C329" s="4" t="s">
        <v>415</v>
      </c>
      <c r="D329" s="4" t="s">
        <v>1413</v>
      </c>
      <c r="N329" s="5">
        <v>6.5</v>
      </c>
      <c r="Q329" s="5" t="str">
        <f>"6281018143383"</f>
        <v>6281018143383</v>
      </c>
    </row>
    <row r="330" spans="1:17" x14ac:dyDescent="0.3">
      <c r="A330" s="6" t="s">
        <v>2428</v>
      </c>
      <c r="B330" s="5" t="s">
        <v>2090</v>
      </c>
      <c r="C330" s="4" t="s">
        <v>416</v>
      </c>
      <c r="D330" s="4" t="s">
        <v>1414</v>
      </c>
      <c r="N330" s="5">
        <v>7.5</v>
      </c>
      <c r="Q330" s="5" t="str">
        <f>"6281007066570"</f>
        <v>6281007066570</v>
      </c>
    </row>
    <row r="331" spans="1:17" x14ac:dyDescent="0.3">
      <c r="A331" s="6" t="s">
        <v>2429</v>
      </c>
      <c r="B331" s="5" t="s">
        <v>2090</v>
      </c>
      <c r="C331" s="4" t="s">
        <v>417</v>
      </c>
      <c r="D331" s="4" t="s">
        <v>1415</v>
      </c>
      <c r="N331" s="5">
        <v>64.95</v>
      </c>
      <c r="Q331" s="5" t="str">
        <f>"2147517000005"</f>
        <v>2147517000005</v>
      </c>
    </row>
    <row r="332" spans="1:17" x14ac:dyDescent="0.3">
      <c r="A332" s="6" t="s">
        <v>2430</v>
      </c>
      <c r="B332" s="5" t="s">
        <v>2090</v>
      </c>
      <c r="C332" s="4" t="s">
        <v>418</v>
      </c>
      <c r="D332" s="4" t="s">
        <v>1416</v>
      </c>
      <c r="N332" s="5">
        <v>9.9499999999999993</v>
      </c>
      <c r="Q332" s="5" t="str">
        <f>"6281048109601"</f>
        <v>6281048109601</v>
      </c>
    </row>
    <row r="333" spans="1:17" x14ac:dyDescent="0.3">
      <c r="A333" s="6" t="s">
        <v>2431</v>
      </c>
      <c r="B333" s="5" t="s">
        <v>2090</v>
      </c>
      <c r="C333" s="4" t="s">
        <v>419</v>
      </c>
      <c r="D333" s="4" t="s">
        <v>1417</v>
      </c>
      <c r="N333" s="5">
        <v>8.5</v>
      </c>
      <c r="Q333" s="5" t="str">
        <f>"6297001083482"</f>
        <v>6297001083482</v>
      </c>
    </row>
    <row r="334" spans="1:17" x14ac:dyDescent="0.3">
      <c r="A334" s="6" t="s">
        <v>2432</v>
      </c>
      <c r="B334" s="5" t="s">
        <v>2090</v>
      </c>
      <c r="C334" s="4" t="s">
        <v>420</v>
      </c>
      <c r="D334" s="4" t="s">
        <v>1418</v>
      </c>
      <c r="N334" s="5">
        <v>3</v>
      </c>
      <c r="Q334" s="5" t="str">
        <f>"6281007039833"</f>
        <v>6281007039833</v>
      </c>
    </row>
    <row r="335" spans="1:17" x14ac:dyDescent="0.3">
      <c r="A335" s="6" t="s">
        <v>2433</v>
      </c>
      <c r="B335" s="5" t="s">
        <v>2090</v>
      </c>
      <c r="C335" s="4" t="s">
        <v>421</v>
      </c>
      <c r="D335" s="4" t="s">
        <v>1419</v>
      </c>
      <c r="N335" s="5">
        <v>14.25</v>
      </c>
      <c r="Q335" s="5" t="str">
        <f>"6281057003181"</f>
        <v>6281057003181</v>
      </c>
    </row>
    <row r="336" spans="1:17" x14ac:dyDescent="0.3">
      <c r="A336" s="6" t="s">
        <v>2434</v>
      </c>
      <c r="B336" s="5" t="s">
        <v>2090</v>
      </c>
      <c r="C336" s="4" t="s">
        <v>422</v>
      </c>
      <c r="D336" s="4" t="s">
        <v>1420</v>
      </c>
      <c r="N336" s="5">
        <v>42.25</v>
      </c>
      <c r="Q336" s="5" t="str">
        <f>"3073780963404"</f>
        <v>3073780963404</v>
      </c>
    </row>
    <row r="337" spans="1:17" x14ac:dyDescent="0.3">
      <c r="A337" s="6" t="s">
        <v>2435</v>
      </c>
      <c r="B337" s="5" t="s">
        <v>2090</v>
      </c>
      <c r="C337" s="4" t="s">
        <v>423</v>
      </c>
      <c r="D337" s="4" t="s">
        <v>1421</v>
      </c>
      <c r="N337" s="5">
        <v>24.45</v>
      </c>
      <c r="Q337" s="5" t="str">
        <f>"2140308000000"</f>
        <v>2140308000000</v>
      </c>
    </row>
    <row r="338" spans="1:17" x14ac:dyDescent="0.3">
      <c r="A338" s="6" t="s">
        <v>2436</v>
      </c>
      <c r="B338" s="5" t="s">
        <v>2090</v>
      </c>
      <c r="C338" s="4" t="s">
        <v>424</v>
      </c>
      <c r="D338" s="4" t="s">
        <v>1422</v>
      </c>
      <c r="N338" s="5">
        <v>23.75</v>
      </c>
      <c r="Q338" s="5" t="str">
        <f>"6281020331136"</f>
        <v>6281020331136</v>
      </c>
    </row>
    <row r="339" spans="1:17" x14ac:dyDescent="0.3">
      <c r="A339" s="6" t="s">
        <v>2437</v>
      </c>
      <c r="B339" s="5" t="s">
        <v>2090</v>
      </c>
      <c r="C339" s="4" t="s">
        <v>425</v>
      </c>
      <c r="D339" s="4" t="s">
        <v>1423</v>
      </c>
      <c r="N339" s="5">
        <v>11.95</v>
      </c>
      <c r="Q339" s="5" t="str">
        <f>"6287007030030"</f>
        <v>6287007030030</v>
      </c>
    </row>
    <row r="340" spans="1:17" x14ac:dyDescent="0.3">
      <c r="A340" s="6" t="s">
        <v>2438</v>
      </c>
      <c r="B340" s="5" t="s">
        <v>2090</v>
      </c>
      <c r="C340" s="4" t="s">
        <v>426</v>
      </c>
      <c r="D340" s="4" t="s">
        <v>1424</v>
      </c>
      <c r="N340" s="5">
        <v>12.95</v>
      </c>
      <c r="Q340" s="5" t="str">
        <f>"6281022126990"</f>
        <v>6281022126990</v>
      </c>
    </row>
    <row r="341" spans="1:17" x14ac:dyDescent="0.3">
      <c r="A341" s="6" t="s">
        <v>2439</v>
      </c>
      <c r="B341" s="5" t="s">
        <v>2090</v>
      </c>
      <c r="C341" s="4" t="s">
        <v>427</v>
      </c>
      <c r="D341" s="4" t="s">
        <v>1425</v>
      </c>
      <c r="N341" s="5">
        <v>12.95</v>
      </c>
      <c r="Q341" s="5" t="str">
        <f>"6281018316770"</f>
        <v>6281018316770</v>
      </c>
    </row>
    <row r="342" spans="1:17" x14ac:dyDescent="0.3">
      <c r="A342" s="6" t="s">
        <v>2440</v>
      </c>
      <c r="B342" s="5" t="s">
        <v>2090</v>
      </c>
      <c r="C342" s="4" t="s">
        <v>428</v>
      </c>
      <c r="D342" s="4" t="s">
        <v>1426</v>
      </c>
      <c r="N342" s="5">
        <v>5.95</v>
      </c>
      <c r="Q342" s="5" t="str">
        <f>"6281018154648"</f>
        <v>6281018154648</v>
      </c>
    </row>
    <row r="343" spans="1:17" x14ac:dyDescent="0.3">
      <c r="A343" s="6" t="s">
        <v>2441</v>
      </c>
      <c r="B343" s="5" t="s">
        <v>2090</v>
      </c>
      <c r="C343" s="4" t="s">
        <v>429</v>
      </c>
      <c r="D343" s="4" t="s">
        <v>1427</v>
      </c>
      <c r="N343" s="5">
        <v>36.950000000000003</v>
      </c>
      <c r="Q343" s="5" t="str">
        <f>"2143281000005"</f>
        <v>2143281000005</v>
      </c>
    </row>
    <row r="344" spans="1:17" x14ac:dyDescent="0.3">
      <c r="A344" s="6" t="s">
        <v>2442</v>
      </c>
      <c r="B344" s="5" t="s">
        <v>2090</v>
      </c>
      <c r="C344" s="4" t="s">
        <v>430</v>
      </c>
      <c r="D344" s="4" t="s">
        <v>1428</v>
      </c>
      <c r="N344" s="5">
        <v>2</v>
      </c>
      <c r="Q344" s="5" t="str">
        <f>"6281007023115"</f>
        <v>6281007023115</v>
      </c>
    </row>
    <row r="345" spans="1:17" x14ac:dyDescent="0.3">
      <c r="A345" s="6" t="s">
        <v>2443</v>
      </c>
      <c r="B345" s="5" t="s">
        <v>2090</v>
      </c>
      <c r="C345" s="4" t="s">
        <v>431</v>
      </c>
      <c r="D345" s="4" t="s">
        <v>1429</v>
      </c>
      <c r="N345" s="5">
        <v>12.5</v>
      </c>
      <c r="Q345" s="5" t="str">
        <f>"6281022118186"</f>
        <v>6281022118186</v>
      </c>
    </row>
    <row r="346" spans="1:17" x14ac:dyDescent="0.3">
      <c r="A346" s="6" t="s">
        <v>2444</v>
      </c>
      <c r="B346" s="5" t="s">
        <v>2090</v>
      </c>
      <c r="C346" s="4" t="s">
        <v>432</v>
      </c>
      <c r="D346" s="4" t="s">
        <v>1430</v>
      </c>
      <c r="N346" s="5">
        <v>2</v>
      </c>
      <c r="Q346" s="5" t="str">
        <f>"6281007041843"</f>
        <v>6281007041843</v>
      </c>
    </row>
    <row r="347" spans="1:17" x14ac:dyDescent="0.3">
      <c r="A347" s="6" t="s">
        <v>2445</v>
      </c>
      <c r="B347" s="5" t="s">
        <v>2090</v>
      </c>
      <c r="C347" s="4" t="s">
        <v>433</v>
      </c>
      <c r="D347" s="4" t="s">
        <v>1431</v>
      </c>
      <c r="N347" s="5">
        <v>23.5</v>
      </c>
      <c r="Q347" s="5" t="str">
        <f>"5711953113475"</f>
        <v>5711953113475</v>
      </c>
    </row>
    <row r="348" spans="1:17" x14ac:dyDescent="0.3">
      <c r="A348" s="6" t="s">
        <v>2446</v>
      </c>
      <c r="B348" s="5" t="s">
        <v>2090</v>
      </c>
      <c r="C348" s="4" t="s">
        <v>434</v>
      </c>
      <c r="D348" s="4" t="s">
        <v>1432</v>
      </c>
      <c r="N348" s="5">
        <v>14</v>
      </c>
      <c r="Q348" s="5" t="str">
        <f>"6281022109160"</f>
        <v>6281022109160</v>
      </c>
    </row>
    <row r="349" spans="1:17" x14ac:dyDescent="0.3">
      <c r="A349" s="6" t="s">
        <v>2447</v>
      </c>
      <c r="B349" s="5" t="s">
        <v>2090</v>
      </c>
      <c r="C349" s="4" t="s">
        <v>435</v>
      </c>
      <c r="D349" s="4" t="s">
        <v>1433</v>
      </c>
      <c r="N349" s="5">
        <v>17.5</v>
      </c>
      <c r="Q349" s="5" t="str">
        <f>"5711953022500"</f>
        <v>5711953022500</v>
      </c>
    </row>
    <row r="350" spans="1:17" x14ac:dyDescent="0.3">
      <c r="A350" s="6" t="s">
        <v>2448</v>
      </c>
      <c r="B350" s="5" t="s">
        <v>2090</v>
      </c>
      <c r="C350" s="4" t="s">
        <v>436</v>
      </c>
      <c r="D350" s="4" t="s">
        <v>1434</v>
      </c>
      <c r="N350" s="5">
        <v>33.25</v>
      </c>
      <c r="Q350" s="5" t="str">
        <f>"6287004520305"</f>
        <v>6287004520305</v>
      </c>
    </row>
    <row r="351" spans="1:17" x14ac:dyDescent="0.3">
      <c r="A351" s="6" t="s">
        <v>2449</v>
      </c>
      <c r="B351" s="5" t="s">
        <v>2090</v>
      </c>
      <c r="C351" s="4" t="s">
        <v>437</v>
      </c>
      <c r="D351" s="4" t="s">
        <v>1435</v>
      </c>
      <c r="N351" s="5">
        <v>21</v>
      </c>
      <c r="Q351" s="5" t="str">
        <f>"6281048106495"</f>
        <v>6281048106495</v>
      </c>
    </row>
    <row r="352" spans="1:17" x14ac:dyDescent="0.3">
      <c r="A352" s="6" t="s">
        <v>2450</v>
      </c>
      <c r="B352" s="5" t="s">
        <v>2090</v>
      </c>
      <c r="C352" s="4" t="s">
        <v>438</v>
      </c>
      <c r="D352" s="4" t="s">
        <v>1436</v>
      </c>
      <c r="N352" s="5">
        <v>24</v>
      </c>
      <c r="Q352" s="5" t="str">
        <f>"6281007905121"</f>
        <v>6281007905121</v>
      </c>
    </row>
    <row r="353" spans="1:17" x14ac:dyDescent="0.3">
      <c r="A353" s="6" t="s">
        <v>2451</v>
      </c>
      <c r="B353" s="5" t="s">
        <v>2090</v>
      </c>
      <c r="C353" s="4" t="s">
        <v>439</v>
      </c>
      <c r="D353" s="4" t="s">
        <v>1437</v>
      </c>
      <c r="N353" s="5">
        <v>10.25</v>
      </c>
      <c r="Q353" s="5" t="str">
        <f>"6281039107012"</f>
        <v>6281039107012</v>
      </c>
    </row>
    <row r="354" spans="1:17" x14ac:dyDescent="0.3">
      <c r="A354" s="6" t="s">
        <v>2452</v>
      </c>
      <c r="B354" s="5" t="s">
        <v>2090</v>
      </c>
      <c r="C354" s="4" t="s">
        <v>440</v>
      </c>
      <c r="D354" s="4" t="s">
        <v>1438</v>
      </c>
      <c r="N354" s="5">
        <v>4</v>
      </c>
      <c r="Q354" s="5" t="str">
        <f>"62810531"</f>
        <v>62810531</v>
      </c>
    </row>
    <row r="355" spans="1:17" x14ac:dyDescent="0.3">
      <c r="A355" s="6" t="s">
        <v>2453</v>
      </c>
      <c r="B355" s="5" t="s">
        <v>2090</v>
      </c>
      <c r="C355" s="4" t="s">
        <v>441</v>
      </c>
      <c r="D355" s="4" t="s">
        <v>1439</v>
      </c>
      <c r="N355" s="5">
        <v>60.95</v>
      </c>
      <c r="Q355" s="5" t="str">
        <f>"2140297000005"</f>
        <v>2140297000005</v>
      </c>
    </row>
    <row r="356" spans="1:17" x14ac:dyDescent="0.3">
      <c r="A356" s="6" t="s">
        <v>2454</v>
      </c>
      <c r="B356" s="5" t="s">
        <v>2090</v>
      </c>
      <c r="C356" s="4" t="s">
        <v>442</v>
      </c>
      <c r="D356" s="4" t="s">
        <v>1440</v>
      </c>
      <c r="N356" s="5">
        <v>13</v>
      </c>
      <c r="Q356" s="5" t="str">
        <f>"5711953090059"</f>
        <v>5711953090059</v>
      </c>
    </row>
    <row r="357" spans="1:17" x14ac:dyDescent="0.3">
      <c r="A357" s="6" t="s">
        <v>2455</v>
      </c>
      <c r="B357" s="5" t="s">
        <v>2090</v>
      </c>
      <c r="C357" s="4" t="s">
        <v>443</v>
      </c>
      <c r="D357" s="4" t="s">
        <v>1441</v>
      </c>
      <c r="N357" s="5">
        <v>27</v>
      </c>
      <c r="Q357" s="5" t="str">
        <f>"5411188543398"</f>
        <v>5411188543398</v>
      </c>
    </row>
    <row r="358" spans="1:17" x14ac:dyDescent="0.3">
      <c r="A358" s="6" t="s">
        <v>2456</v>
      </c>
      <c r="B358" s="5" t="s">
        <v>2090</v>
      </c>
      <c r="C358" s="4" t="s">
        <v>444</v>
      </c>
      <c r="D358" s="4" t="s">
        <v>1442</v>
      </c>
      <c r="N358" s="5">
        <v>11.25</v>
      </c>
      <c r="Q358" s="5" t="str">
        <f>"6281007026420"</f>
        <v>6281007026420</v>
      </c>
    </row>
    <row r="359" spans="1:17" x14ac:dyDescent="0.3">
      <c r="A359" s="6" t="s">
        <v>2457</v>
      </c>
      <c r="B359" s="5" t="s">
        <v>2090</v>
      </c>
      <c r="C359" s="4" t="s">
        <v>445</v>
      </c>
      <c r="D359" s="4" t="s">
        <v>1443</v>
      </c>
      <c r="N359" s="5">
        <v>30.95</v>
      </c>
      <c r="Q359" s="5" t="str">
        <f>"6281039175530"</f>
        <v>6281039175530</v>
      </c>
    </row>
    <row r="360" spans="1:17" x14ac:dyDescent="0.3">
      <c r="A360" s="6" t="s">
        <v>2458</v>
      </c>
      <c r="B360" s="5" t="s">
        <v>2090</v>
      </c>
      <c r="C360" s="4" t="s">
        <v>446</v>
      </c>
      <c r="D360" s="4" t="s">
        <v>1444</v>
      </c>
      <c r="N360" s="5">
        <v>17.25</v>
      </c>
      <c r="Q360" s="5" t="str">
        <f>"5977661882373"</f>
        <v>5977661882373</v>
      </c>
    </row>
    <row r="361" spans="1:17" x14ac:dyDescent="0.3">
      <c r="A361" s="6" t="s">
        <v>2459</v>
      </c>
      <c r="B361" s="5" t="s">
        <v>2090</v>
      </c>
      <c r="C361" s="4" t="s">
        <v>447</v>
      </c>
      <c r="D361" s="4" t="s">
        <v>1445</v>
      </c>
      <c r="N361" s="5">
        <v>6.75</v>
      </c>
      <c r="Q361" s="5" t="str">
        <f>"6281039101218"</f>
        <v>6281039101218</v>
      </c>
    </row>
    <row r="362" spans="1:17" x14ac:dyDescent="0.3">
      <c r="A362" s="6" t="s">
        <v>2460</v>
      </c>
      <c r="B362" s="5" t="s">
        <v>2090</v>
      </c>
      <c r="C362" s="4" t="s">
        <v>448</v>
      </c>
      <c r="D362" s="4" t="s">
        <v>1446</v>
      </c>
      <c r="N362" s="5">
        <v>2</v>
      </c>
      <c r="Q362" s="5" t="str">
        <f>"6281007039581"</f>
        <v>6281007039581</v>
      </c>
    </row>
    <row r="363" spans="1:17" x14ac:dyDescent="0.3">
      <c r="A363" s="6" t="s">
        <v>2461</v>
      </c>
      <c r="B363" s="5" t="s">
        <v>2090</v>
      </c>
      <c r="C363" s="4" t="s">
        <v>449</v>
      </c>
      <c r="D363" s="4" t="s">
        <v>1447</v>
      </c>
      <c r="N363" s="5">
        <v>8.9499999999999993</v>
      </c>
      <c r="Q363" s="5" t="str">
        <f>"6084012090444"</f>
        <v>6084012090444</v>
      </c>
    </row>
    <row r="364" spans="1:17" x14ac:dyDescent="0.3">
      <c r="A364" s="6" t="s">
        <v>2462</v>
      </c>
      <c r="B364" s="5" t="s">
        <v>2090</v>
      </c>
      <c r="C364" s="4" t="s">
        <v>450</v>
      </c>
      <c r="D364" s="4" t="s">
        <v>1448</v>
      </c>
      <c r="N364" s="5">
        <v>6</v>
      </c>
      <c r="Q364" s="5" t="str">
        <f>"6281057002535"</f>
        <v>6281057002535</v>
      </c>
    </row>
    <row r="365" spans="1:17" x14ac:dyDescent="0.3">
      <c r="A365" s="6" t="s">
        <v>2463</v>
      </c>
      <c r="B365" s="5" t="s">
        <v>2090</v>
      </c>
      <c r="C365" s="4" t="s">
        <v>451</v>
      </c>
      <c r="D365" s="4" t="s">
        <v>1449</v>
      </c>
      <c r="N365" s="5">
        <v>2.5</v>
      </c>
      <c r="Q365" s="5" t="str">
        <f>"6281022118926"</f>
        <v>6281022118926</v>
      </c>
    </row>
    <row r="366" spans="1:17" x14ac:dyDescent="0.3">
      <c r="A366" s="6" t="s">
        <v>2464</v>
      </c>
      <c r="B366" s="5" t="s">
        <v>2090</v>
      </c>
      <c r="C366" s="4" t="s">
        <v>452</v>
      </c>
      <c r="D366" s="4" t="s">
        <v>1450</v>
      </c>
      <c r="N366" s="5">
        <v>8.25</v>
      </c>
      <c r="Q366" s="5" t="str">
        <f>"6281007070065"</f>
        <v>6281007070065</v>
      </c>
    </row>
    <row r="367" spans="1:17" x14ac:dyDescent="0.3">
      <c r="A367" s="6" t="s">
        <v>2465</v>
      </c>
      <c r="B367" s="5" t="s">
        <v>2090</v>
      </c>
      <c r="C367" s="4" t="s">
        <v>453</v>
      </c>
      <c r="D367" s="4" t="s">
        <v>1451</v>
      </c>
      <c r="N367" s="5">
        <v>113.95</v>
      </c>
      <c r="Q367" s="5" t="str">
        <f>"2149938000008"</f>
        <v>2149938000008</v>
      </c>
    </row>
    <row r="368" spans="1:17" x14ac:dyDescent="0.3">
      <c r="A368" s="6" t="s">
        <v>2466</v>
      </c>
      <c r="B368" s="5" t="s">
        <v>2090</v>
      </c>
      <c r="C368" s="4" t="s">
        <v>454</v>
      </c>
      <c r="D368" s="4" t="s">
        <v>1452</v>
      </c>
      <c r="N368" s="5">
        <v>20.5</v>
      </c>
      <c r="Q368" s="5" t="str">
        <f>"6281007033091"</f>
        <v>6281007033091</v>
      </c>
    </row>
    <row r="369" spans="1:17" x14ac:dyDescent="0.3">
      <c r="A369" s="6" t="s">
        <v>2467</v>
      </c>
      <c r="B369" s="5" t="s">
        <v>2090</v>
      </c>
      <c r="C369" s="4" t="s">
        <v>455</v>
      </c>
      <c r="D369" s="4" t="s">
        <v>1453</v>
      </c>
      <c r="N369" s="5">
        <v>7.25</v>
      </c>
      <c r="Q369" s="5" t="str">
        <f>"6281007028363"</f>
        <v>6281007028363</v>
      </c>
    </row>
    <row r="370" spans="1:17" x14ac:dyDescent="0.3">
      <c r="A370" s="6" t="s">
        <v>2468</v>
      </c>
      <c r="B370" s="5" t="s">
        <v>2090</v>
      </c>
      <c r="C370" s="4" t="s">
        <v>456</v>
      </c>
      <c r="D370" s="4" t="s">
        <v>1454</v>
      </c>
      <c r="N370" s="5">
        <v>17</v>
      </c>
      <c r="Q370" s="5" t="str">
        <f>"6281057007387"</f>
        <v>6281057007387</v>
      </c>
    </row>
    <row r="371" spans="1:17" x14ac:dyDescent="0.3">
      <c r="A371" s="6" t="s">
        <v>2469</v>
      </c>
      <c r="B371" s="5" t="s">
        <v>2090</v>
      </c>
      <c r="C371" s="4" t="s">
        <v>457</v>
      </c>
      <c r="D371" s="4" t="s">
        <v>1455</v>
      </c>
      <c r="N371" s="5">
        <v>8.5</v>
      </c>
      <c r="Q371" s="5" t="str">
        <f>"6281022120349"</f>
        <v>6281022120349</v>
      </c>
    </row>
    <row r="372" spans="1:17" x14ac:dyDescent="0.3">
      <c r="A372" s="6" t="s">
        <v>2470</v>
      </c>
      <c r="B372" s="5" t="s">
        <v>2090</v>
      </c>
      <c r="C372" s="4" t="s">
        <v>458</v>
      </c>
      <c r="D372" s="4" t="s">
        <v>1456</v>
      </c>
      <c r="N372" s="5">
        <v>22.5</v>
      </c>
      <c r="Q372" s="5" t="str">
        <f>"2000004251673"</f>
        <v>2000004251673</v>
      </c>
    </row>
    <row r="373" spans="1:17" x14ac:dyDescent="0.3">
      <c r="A373" s="6" t="s">
        <v>2471</v>
      </c>
      <c r="B373" s="5" t="s">
        <v>2090</v>
      </c>
      <c r="C373" s="4" t="s">
        <v>459</v>
      </c>
      <c r="D373" s="4" t="s">
        <v>1457</v>
      </c>
      <c r="N373" s="5">
        <v>8.5</v>
      </c>
      <c r="Q373" s="5" t="str">
        <f>"8690504434733"</f>
        <v>8690504434733</v>
      </c>
    </row>
    <row r="374" spans="1:17" x14ac:dyDescent="0.3">
      <c r="A374" s="6" t="s">
        <v>2472</v>
      </c>
      <c r="B374" s="5" t="s">
        <v>2090</v>
      </c>
      <c r="C374" s="4" t="s">
        <v>460</v>
      </c>
      <c r="D374" s="4" t="s">
        <v>1458</v>
      </c>
      <c r="N374" s="5">
        <v>15.75</v>
      </c>
      <c r="Q374" s="5" t="str">
        <f>"6281048113882"</f>
        <v>6281048113882</v>
      </c>
    </row>
    <row r="375" spans="1:17" x14ac:dyDescent="0.3">
      <c r="A375" s="6" t="s">
        <v>2473</v>
      </c>
      <c r="B375" s="5" t="s">
        <v>2090</v>
      </c>
      <c r="C375" s="4" t="s">
        <v>461</v>
      </c>
      <c r="D375" s="4" t="s">
        <v>1459</v>
      </c>
      <c r="N375" s="5">
        <v>37.25</v>
      </c>
      <c r="Q375" s="5" t="str">
        <f>"6281007032131"</f>
        <v>6281007032131</v>
      </c>
    </row>
    <row r="376" spans="1:17" x14ac:dyDescent="0.3">
      <c r="A376" s="6" t="s">
        <v>2474</v>
      </c>
      <c r="B376" s="5" t="s">
        <v>2090</v>
      </c>
      <c r="C376" s="4" t="s">
        <v>462</v>
      </c>
      <c r="D376" s="4" t="s">
        <v>1460</v>
      </c>
      <c r="N376" s="5">
        <v>39.950000000000003</v>
      </c>
      <c r="Q376" s="5" t="str">
        <f>"2145671000008"</f>
        <v>2145671000008</v>
      </c>
    </row>
    <row r="377" spans="1:17" x14ac:dyDescent="0.3">
      <c r="A377" s="6" t="s">
        <v>2475</v>
      </c>
      <c r="B377" s="5" t="s">
        <v>2090</v>
      </c>
      <c r="C377" s="4" t="s">
        <v>463</v>
      </c>
      <c r="D377" s="4" t="s">
        <v>1461</v>
      </c>
      <c r="N377" s="5">
        <v>17.25</v>
      </c>
      <c r="Q377" s="5" t="str">
        <f>"3023260032168"</f>
        <v>3023260032168</v>
      </c>
    </row>
    <row r="378" spans="1:17" x14ac:dyDescent="0.3">
      <c r="A378" s="6" t="s">
        <v>2476</v>
      </c>
      <c r="B378" s="5" t="s">
        <v>2090</v>
      </c>
      <c r="C378" s="4" t="s">
        <v>464</v>
      </c>
      <c r="D378" s="4" t="s">
        <v>1462</v>
      </c>
      <c r="N378" s="5">
        <v>6.95</v>
      </c>
      <c r="Q378" s="5" t="str">
        <f>"6281022118087"</f>
        <v>6281022118087</v>
      </c>
    </row>
    <row r="379" spans="1:17" x14ac:dyDescent="0.3">
      <c r="A379" s="6" t="s">
        <v>2477</v>
      </c>
      <c r="B379" s="5" t="s">
        <v>2090</v>
      </c>
      <c r="C379" s="4" t="s">
        <v>465</v>
      </c>
      <c r="D379" s="4" t="s">
        <v>1463</v>
      </c>
      <c r="N379" s="5">
        <v>17.25</v>
      </c>
      <c r="Q379" s="5" t="str">
        <f>"5711953073991"</f>
        <v>5711953073991</v>
      </c>
    </row>
    <row r="380" spans="1:17" x14ac:dyDescent="0.3">
      <c r="A380" s="6" t="s">
        <v>2478</v>
      </c>
      <c r="B380" s="5" t="s">
        <v>2090</v>
      </c>
      <c r="C380" s="4" t="s">
        <v>466</v>
      </c>
      <c r="D380" s="4" t="s">
        <v>1464</v>
      </c>
      <c r="N380" s="5">
        <v>35</v>
      </c>
      <c r="Q380" s="5" t="str">
        <f>"6281024010600"</f>
        <v>6281024010600</v>
      </c>
    </row>
    <row r="381" spans="1:17" x14ac:dyDescent="0.3">
      <c r="A381" s="6" t="s">
        <v>2479</v>
      </c>
      <c r="B381" s="5" t="s">
        <v>2090</v>
      </c>
      <c r="C381" s="4" t="s">
        <v>467</v>
      </c>
      <c r="D381" s="4" t="s">
        <v>1465</v>
      </c>
      <c r="N381" s="5">
        <v>7.25</v>
      </c>
      <c r="Q381" s="5" t="str">
        <f>"6281007031363"</f>
        <v>6281007031363</v>
      </c>
    </row>
    <row r="382" spans="1:17" x14ac:dyDescent="0.3">
      <c r="A382" s="6" t="s">
        <v>2480</v>
      </c>
      <c r="B382" s="5" t="s">
        <v>2090</v>
      </c>
      <c r="C382" s="4" t="s">
        <v>468</v>
      </c>
      <c r="D382" s="4" t="s">
        <v>1466</v>
      </c>
      <c r="N382" s="5">
        <v>7.5</v>
      </c>
      <c r="Q382" s="5" t="str">
        <f>"6281022134056"</f>
        <v>6281022134056</v>
      </c>
    </row>
    <row r="383" spans="1:17" x14ac:dyDescent="0.3">
      <c r="A383" s="6" t="s">
        <v>2481</v>
      </c>
      <c r="B383" s="5" t="s">
        <v>2090</v>
      </c>
      <c r="C383" s="4" t="s">
        <v>469</v>
      </c>
      <c r="D383" s="4" t="s">
        <v>1467</v>
      </c>
      <c r="N383" s="5">
        <v>12.25</v>
      </c>
      <c r="Q383" s="5" t="str">
        <f>"5760466772167"</f>
        <v>5760466772167</v>
      </c>
    </row>
    <row r="384" spans="1:17" x14ac:dyDescent="0.3">
      <c r="A384" s="6" t="s">
        <v>2482</v>
      </c>
      <c r="B384" s="5" t="s">
        <v>2090</v>
      </c>
      <c r="C384" s="4" t="s">
        <v>470</v>
      </c>
      <c r="D384" s="4" t="s">
        <v>1468</v>
      </c>
      <c r="N384" s="5">
        <v>5</v>
      </c>
      <c r="Q384" s="5" t="str">
        <f>"6271002422013"</f>
        <v>6271002422013</v>
      </c>
    </row>
    <row r="385" spans="1:17" x14ac:dyDescent="0.3">
      <c r="A385" s="6" t="s">
        <v>2483</v>
      </c>
      <c r="B385" s="5" t="s">
        <v>2090</v>
      </c>
      <c r="C385" s="4" t="s">
        <v>471</v>
      </c>
      <c r="D385" s="4" t="s">
        <v>1469</v>
      </c>
      <c r="N385" s="5">
        <v>17.5</v>
      </c>
      <c r="Q385" s="5" t="str">
        <f>"6281007033213"</f>
        <v>6281007033213</v>
      </c>
    </row>
    <row r="386" spans="1:17" x14ac:dyDescent="0.3">
      <c r="A386" s="6" t="s">
        <v>2484</v>
      </c>
      <c r="B386" s="5" t="s">
        <v>2090</v>
      </c>
      <c r="C386" s="4" t="s">
        <v>472</v>
      </c>
      <c r="D386" s="4" t="s">
        <v>1470</v>
      </c>
      <c r="N386" s="5">
        <v>8.5</v>
      </c>
      <c r="Q386" s="5" t="str">
        <f>"6281022110357"</f>
        <v>6281022110357</v>
      </c>
    </row>
    <row r="387" spans="1:17" x14ac:dyDescent="0.3">
      <c r="A387" s="6" t="s">
        <v>2485</v>
      </c>
      <c r="B387" s="5" t="s">
        <v>2090</v>
      </c>
      <c r="C387" s="4" t="s">
        <v>473</v>
      </c>
      <c r="D387" s="4" t="s">
        <v>1471</v>
      </c>
      <c r="N387" s="5">
        <v>51.5</v>
      </c>
      <c r="Q387" s="5" t="str">
        <f>"6281007045681"</f>
        <v>6281007045681</v>
      </c>
    </row>
    <row r="388" spans="1:17" x14ac:dyDescent="0.3">
      <c r="A388" s="6" t="s">
        <v>2486</v>
      </c>
      <c r="B388" s="5" t="s">
        <v>2090</v>
      </c>
      <c r="C388" s="4" t="s">
        <v>474</v>
      </c>
      <c r="D388" s="4" t="s">
        <v>1472</v>
      </c>
      <c r="N388" s="5">
        <v>24.5</v>
      </c>
      <c r="Q388" s="5" t="str">
        <f>"6281024012406"</f>
        <v>6281024012406</v>
      </c>
    </row>
    <row r="389" spans="1:17" x14ac:dyDescent="0.3">
      <c r="A389" s="6" t="s">
        <v>2487</v>
      </c>
      <c r="B389" s="5" t="s">
        <v>2090</v>
      </c>
      <c r="C389" s="4" t="s">
        <v>475</v>
      </c>
      <c r="D389" s="4" t="s">
        <v>1473</v>
      </c>
      <c r="N389" s="5">
        <v>5</v>
      </c>
      <c r="Q389" s="5" t="str">
        <f>"6281057002658"</f>
        <v>6281057002658</v>
      </c>
    </row>
    <row r="390" spans="1:17" x14ac:dyDescent="0.3">
      <c r="A390" s="6" t="s">
        <v>2488</v>
      </c>
      <c r="B390" s="5" t="s">
        <v>2090</v>
      </c>
      <c r="C390" s="4" t="s">
        <v>476</v>
      </c>
      <c r="D390" s="4" t="s">
        <v>1474</v>
      </c>
      <c r="N390" s="5">
        <v>6</v>
      </c>
      <c r="Q390" s="5" t="str">
        <f>"6281007118132"</f>
        <v>6281007118132</v>
      </c>
    </row>
    <row r="391" spans="1:17" x14ac:dyDescent="0.3">
      <c r="A391" s="6" t="s">
        <v>2489</v>
      </c>
      <c r="B391" s="5" t="s">
        <v>2090</v>
      </c>
      <c r="C391" s="4" t="s">
        <v>477</v>
      </c>
      <c r="D391" s="4" t="s">
        <v>1475</v>
      </c>
      <c r="N391" s="5">
        <v>10</v>
      </c>
      <c r="Q391" s="5" t="str">
        <f>"6281018292159"</f>
        <v>6281018292159</v>
      </c>
    </row>
    <row r="392" spans="1:17" x14ac:dyDescent="0.3">
      <c r="A392" s="6" t="s">
        <v>2490</v>
      </c>
      <c r="B392" s="5" t="s">
        <v>2090</v>
      </c>
      <c r="C392" s="4" t="s">
        <v>478</v>
      </c>
      <c r="D392" s="4" t="s">
        <v>1476</v>
      </c>
      <c r="N392" s="5">
        <v>27.45</v>
      </c>
      <c r="Q392" s="5" t="str">
        <f>"2140342000004"</f>
        <v>2140342000004</v>
      </c>
    </row>
    <row r="393" spans="1:17" x14ac:dyDescent="0.3">
      <c r="A393" s="6" t="s">
        <v>2491</v>
      </c>
      <c r="B393" s="5" t="s">
        <v>2090</v>
      </c>
      <c r="C393" s="4" t="s">
        <v>479</v>
      </c>
      <c r="D393" s="4" t="s">
        <v>1477</v>
      </c>
      <c r="N393" s="5">
        <v>50</v>
      </c>
      <c r="Q393" s="5" t="str">
        <f>"6281007063135"</f>
        <v>6281007063135</v>
      </c>
    </row>
    <row r="394" spans="1:17" x14ac:dyDescent="0.3">
      <c r="A394" s="6" t="s">
        <v>2492</v>
      </c>
      <c r="B394" s="5" t="s">
        <v>2090</v>
      </c>
      <c r="C394" s="4" t="s">
        <v>480</v>
      </c>
      <c r="D394" s="4" t="s">
        <v>1478</v>
      </c>
      <c r="N394" s="5">
        <v>6.5</v>
      </c>
      <c r="Q394" s="5" t="str">
        <f>"6281057012015"</f>
        <v>6281057012015</v>
      </c>
    </row>
    <row r="395" spans="1:17" x14ac:dyDescent="0.3">
      <c r="A395" s="6" t="s">
        <v>2493</v>
      </c>
      <c r="B395" s="5" t="s">
        <v>2090</v>
      </c>
      <c r="C395" s="4" t="s">
        <v>481</v>
      </c>
      <c r="D395" s="4" t="s">
        <v>1479</v>
      </c>
      <c r="N395" s="5">
        <v>36</v>
      </c>
      <c r="Q395" s="5" t="str">
        <f>"8002710415039"</f>
        <v>8002710415039</v>
      </c>
    </row>
    <row r="396" spans="1:17" x14ac:dyDescent="0.3">
      <c r="A396" s="6" t="s">
        <v>2494</v>
      </c>
      <c r="B396" s="5" t="s">
        <v>2090</v>
      </c>
      <c r="C396" s="4" t="s">
        <v>482</v>
      </c>
      <c r="D396" s="4" t="s">
        <v>1480</v>
      </c>
      <c r="N396" s="5">
        <v>32</v>
      </c>
      <c r="Q396" s="5" t="str">
        <f>"5711953169946"</f>
        <v>5711953169946</v>
      </c>
    </row>
    <row r="397" spans="1:17" x14ac:dyDescent="0.3">
      <c r="A397" s="6" t="s">
        <v>2495</v>
      </c>
      <c r="B397" s="5" t="s">
        <v>2090</v>
      </c>
      <c r="C397" s="4" t="s">
        <v>483</v>
      </c>
      <c r="D397" s="4" t="s">
        <v>1481</v>
      </c>
      <c r="N397" s="5">
        <v>6.75</v>
      </c>
      <c r="Q397" s="5" t="str">
        <f>"6281039121018"</f>
        <v>6281039121018</v>
      </c>
    </row>
    <row r="398" spans="1:17" x14ac:dyDescent="0.3">
      <c r="A398" s="6" t="s">
        <v>2496</v>
      </c>
      <c r="B398" s="5" t="s">
        <v>2090</v>
      </c>
      <c r="C398" s="4" t="s">
        <v>484</v>
      </c>
      <c r="D398" s="4" t="s">
        <v>1482</v>
      </c>
      <c r="N398" s="5">
        <v>19</v>
      </c>
      <c r="Q398" s="5" t="str">
        <f>"6281003151027"</f>
        <v>6281003151027</v>
      </c>
    </row>
    <row r="399" spans="1:17" x14ac:dyDescent="0.3">
      <c r="A399" s="6" t="s">
        <v>2497</v>
      </c>
      <c r="B399" s="5" t="s">
        <v>2090</v>
      </c>
      <c r="C399" s="4" t="s">
        <v>485</v>
      </c>
      <c r="D399" s="4" t="s">
        <v>1483</v>
      </c>
      <c r="N399" s="5">
        <v>54.5</v>
      </c>
      <c r="Q399" s="5" t="str">
        <f>"3482010000015"</f>
        <v>3482010000015</v>
      </c>
    </row>
    <row r="400" spans="1:17" x14ac:dyDescent="0.3">
      <c r="A400" s="6" t="s">
        <v>2498</v>
      </c>
      <c r="B400" s="5" t="s">
        <v>2090</v>
      </c>
      <c r="C400" s="4" t="s">
        <v>486</v>
      </c>
      <c r="D400" s="4" t="s">
        <v>1484</v>
      </c>
      <c r="N400" s="5">
        <v>23.75</v>
      </c>
      <c r="Q400" s="5" t="str">
        <f>"6191513505145"</f>
        <v>6191513505145</v>
      </c>
    </row>
    <row r="401" spans="1:17" x14ac:dyDescent="0.3">
      <c r="A401" s="6" t="s">
        <v>2499</v>
      </c>
      <c r="B401" s="5" t="s">
        <v>2090</v>
      </c>
      <c r="C401" s="4" t="s">
        <v>487</v>
      </c>
      <c r="D401" s="4" t="s">
        <v>1485</v>
      </c>
      <c r="N401" s="5">
        <v>11.5</v>
      </c>
      <c r="Q401" s="5" t="str">
        <f>"6281048114452"</f>
        <v>6281048114452</v>
      </c>
    </row>
    <row r="402" spans="1:17" x14ac:dyDescent="0.3">
      <c r="A402" s="6" t="s">
        <v>2500</v>
      </c>
      <c r="B402" s="5" t="s">
        <v>2090</v>
      </c>
      <c r="C402" s="4" t="s">
        <v>488</v>
      </c>
      <c r="D402" s="4" t="s">
        <v>1486</v>
      </c>
      <c r="N402" s="5">
        <v>88.95</v>
      </c>
      <c r="Q402" s="5" t="str">
        <f>"6281007053020"</f>
        <v>6281007053020</v>
      </c>
    </row>
    <row r="403" spans="1:17" x14ac:dyDescent="0.3">
      <c r="A403" s="6" t="s">
        <v>2501</v>
      </c>
      <c r="B403" s="5" t="s">
        <v>2090</v>
      </c>
      <c r="C403" s="4" t="s">
        <v>489</v>
      </c>
      <c r="D403" s="4" t="s">
        <v>1487</v>
      </c>
      <c r="N403" s="5">
        <v>33.25</v>
      </c>
      <c r="Q403" s="5" t="str">
        <f>"3073781048995"</f>
        <v>3073781048995</v>
      </c>
    </row>
    <row r="404" spans="1:17" x14ac:dyDescent="0.3">
      <c r="A404" s="6" t="s">
        <v>2502</v>
      </c>
      <c r="B404" s="5" t="s">
        <v>2090</v>
      </c>
      <c r="C404" s="4" t="s">
        <v>490</v>
      </c>
      <c r="D404" s="4" t="s">
        <v>1488</v>
      </c>
      <c r="N404" s="5">
        <v>37.75</v>
      </c>
      <c r="Q404" s="5" t="str">
        <f>"6281007024457"</f>
        <v>6281007024457</v>
      </c>
    </row>
    <row r="405" spans="1:17" x14ac:dyDescent="0.3">
      <c r="A405" s="6" t="s">
        <v>2503</v>
      </c>
      <c r="B405" s="5" t="s">
        <v>2090</v>
      </c>
      <c r="C405" s="4" t="s">
        <v>491</v>
      </c>
      <c r="D405" s="4" t="s">
        <v>1489</v>
      </c>
      <c r="N405" s="5">
        <v>23.25</v>
      </c>
      <c r="Q405" s="5" t="str">
        <f>"6271002118428"</f>
        <v>6271002118428</v>
      </c>
    </row>
    <row r="406" spans="1:17" x14ac:dyDescent="0.3">
      <c r="A406" s="6" t="s">
        <v>2504</v>
      </c>
      <c r="B406" s="5" t="s">
        <v>2090</v>
      </c>
      <c r="C406" s="4" t="s">
        <v>492</v>
      </c>
      <c r="D406" s="4" t="s">
        <v>1490</v>
      </c>
      <c r="N406" s="5">
        <v>2.5</v>
      </c>
      <c r="Q406" s="5" t="str">
        <f>"6281018130130"</f>
        <v>6281018130130</v>
      </c>
    </row>
    <row r="407" spans="1:17" x14ac:dyDescent="0.3">
      <c r="A407" s="6" t="s">
        <v>2505</v>
      </c>
      <c r="B407" s="5" t="s">
        <v>2090</v>
      </c>
      <c r="C407" s="4" t="s">
        <v>493</v>
      </c>
      <c r="D407" s="4" t="s">
        <v>1491</v>
      </c>
      <c r="N407" s="5">
        <v>5</v>
      </c>
      <c r="Q407" s="5" t="str">
        <f>"6281022132397"</f>
        <v>6281022132397</v>
      </c>
    </row>
    <row r="408" spans="1:17" x14ac:dyDescent="0.3">
      <c r="A408" s="6" t="s">
        <v>2506</v>
      </c>
      <c r="B408" s="5" t="s">
        <v>2090</v>
      </c>
      <c r="C408" s="4" t="s">
        <v>494</v>
      </c>
      <c r="D408" s="4" t="s">
        <v>1492</v>
      </c>
      <c r="N408" s="5">
        <v>27.25</v>
      </c>
      <c r="Q408" s="5" t="str">
        <f>"6281007039000"</f>
        <v>6281007039000</v>
      </c>
    </row>
    <row r="409" spans="1:17" x14ac:dyDescent="0.3">
      <c r="A409" s="6" t="s">
        <v>2507</v>
      </c>
      <c r="B409" s="5" t="s">
        <v>2090</v>
      </c>
      <c r="C409" s="4" t="s">
        <v>495</v>
      </c>
      <c r="D409" s="4" t="s">
        <v>1493</v>
      </c>
      <c r="N409" s="5">
        <v>13</v>
      </c>
      <c r="Q409" s="5" t="str">
        <f>"6281022121087"</f>
        <v>6281022121087</v>
      </c>
    </row>
    <row r="410" spans="1:17" x14ac:dyDescent="0.3">
      <c r="A410" s="6" t="s">
        <v>2508</v>
      </c>
      <c r="B410" s="5" t="s">
        <v>2090</v>
      </c>
      <c r="C410" s="4" t="s">
        <v>496</v>
      </c>
      <c r="D410" s="4" t="s">
        <v>1494</v>
      </c>
      <c r="N410" s="5">
        <v>7.95</v>
      </c>
      <c r="Q410" s="5" t="str">
        <f>"6281007023955"</f>
        <v>6281007023955</v>
      </c>
    </row>
    <row r="411" spans="1:17" x14ac:dyDescent="0.3">
      <c r="A411" s="6" t="s">
        <v>2509</v>
      </c>
      <c r="B411" s="5" t="s">
        <v>2090</v>
      </c>
      <c r="C411" s="4" t="s">
        <v>497</v>
      </c>
      <c r="D411" s="4" t="s">
        <v>1495</v>
      </c>
      <c r="N411" s="5">
        <v>17</v>
      </c>
      <c r="Q411" s="5" t="str">
        <f>"6281024010815"</f>
        <v>6281024010815</v>
      </c>
    </row>
    <row r="412" spans="1:17" x14ac:dyDescent="0.3">
      <c r="A412" s="6" t="s">
        <v>2510</v>
      </c>
      <c r="B412" s="5" t="s">
        <v>2090</v>
      </c>
      <c r="C412" s="4" t="s">
        <v>498</v>
      </c>
      <c r="D412" s="4" t="s">
        <v>1496</v>
      </c>
      <c r="N412" s="5">
        <v>27</v>
      </c>
      <c r="Q412" s="5" t="str">
        <f>"5411188300328"</f>
        <v>5411188300328</v>
      </c>
    </row>
    <row r="413" spans="1:17" x14ac:dyDescent="0.3">
      <c r="A413" s="6" t="s">
        <v>2511</v>
      </c>
      <c r="B413" s="5" t="s">
        <v>2090</v>
      </c>
      <c r="C413" s="4" t="s">
        <v>499</v>
      </c>
      <c r="D413" s="4" t="s">
        <v>1497</v>
      </c>
      <c r="N413" s="5">
        <v>19.95</v>
      </c>
      <c r="Q413" s="5" t="str">
        <f>"2143448000008"</f>
        <v>2143448000008</v>
      </c>
    </row>
    <row r="414" spans="1:17" x14ac:dyDescent="0.3">
      <c r="A414" s="6" t="s">
        <v>2512</v>
      </c>
      <c r="B414" s="5" t="s">
        <v>2090</v>
      </c>
      <c r="C414" s="4" t="s">
        <v>500</v>
      </c>
      <c r="D414" s="4" t="s">
        <v>1498</v>
      </c>
      <c r="N414" s="5">
        <v>38</v>
      </c>
      <c r="Q414" s="5" t="str">
        <f>"6281057007653"</f>
        <v>6281057007653</v>
      </c>
    </row>
    <row r="415" spans="1:17" x14ac:dyDescent="0.3">
      <c r="A415" s="6" t="s">
        <v>2513</v>
      </c>
      <c r="B415" s="5" t="s">
        <v>2090</v>
      </c>
      <c r="C415" s="4" t="s">
        <v>501</v>
      </c>
      <c r="D415" s="4" t="s">
        <v>1499</v>
      </c>
      <c r="N415" s="5">
        <v>19.95</v>
      </c>
      <c r="Q415" s="5" t="str">
        <f>"6297000778655"</f>
        <v>6297000778655</v>
      </c>
    </row>
    <row r="416" spans="1:17" x14ac:dyDescent="0.3">
      <c r="A416" s="6" t="s">
        <v>2514</v>
      </c>
      <c r="B416" s="5" t="s">
        <v>2090</v>
      </c>
      <c r="C416" s="4" t="s">
        <v>502</v>
      </c>
      <c r="D416" s="4" t="s">
        <v>1500</v>
      </c>
      <c r="N416" s="5">
        <v>5.75</v>
      </c>
      <c r="Q416" s="5" t="str">
        <f>"6281051005730"</f>
        <v>6281051005730</v>
      </c>
    </row>
    <row r="417" spans="1:17" x14ac:dyDescent="0.3">
      <c r="A417" s="6" t="s">
        <v>2515</v>
      </c>
      <c r="B417" s="5" t="s">
        <v>2090</v>
      </c>
      <c r="C417" s="4" t="s">
        <v>503</v>
      </c>
      <c r="D417" s="4" t="s">
        <v>1501</v>
      </c>
      <c r="N417" s="5">
        <v>24.95</v>
      </c>
      <c r="Q417" s="5" t="str">
        <f>"6281057013258"</f>
        <v>6281057013258</v>
      </c>
    </row>
    <row r="418" spans="1:17" x14ac:dyDescent="0.3">
      <c r="A418" s="6" t="s">
        <v>2516</v>
      </c>
      <c r="B418" s="5" t="s">
        <v>2090</v>
      </c>
      <c r="C418" s="4" t="s">
        <v>504</v>
      </c>
      <c r="D418" s="4" t="s">
        <v>1502</v>
      </c>
      <c r="N418" s="5">
        <v>16.25</v>
      </c>
      <c r="Q418" s="5" t="str">
        <f>"8710912640547"</f>
        <v>8710912640547</v>
      </c>
    </row>
    <row r="419" spans="1:17" x14ac:dyDescent="0.3">
      <c r="A419" s="6" t="s">
        <v>2517</v>
      </c>
      <c r="B419" s="5" t="s">
        <v>2090</v>
      </c>
      <c r="C419" s="4" t="s">
        <v>505</v>
      </c>
      <c r="D419" s="4" t="s">
        <v>1503</v>
      </c>
      <c r="N419" s="5">
        <v>46.95</v>
      </c>
      <c r="Q419" s="5" t="str">
        <f>"2149802000004"</f>
        <v>2149802000004</v>
      </c>
    </row>
    <row r="420" spans="1:17" x14ac:dyDescent="0.3">
      <c r="A420" s="6" t="s">
        <v>2518</v>
      </c>
      <c r="B420" s="5" t="s">
        <v>2090</v>
      </c>
      <c r="C420" s="4" t="s">
        <v>506</v>
      </c>
      <c r="D420" s="4" t="s">
        <v>1504</v>
      </c>
      <c r="N420" s="5">
        <v>17</v>
      </c>
      <c r="Q420" s="5" t="str">
        <f>"6281057007400"</f>
        <v>6281057007400</v>
      </c>
    </row>
    <row r="421" spans="1:17" x14ac:dyDescent="0.3">
      <c r="A421" s="6" t="s">
        <v>2519</v>
      </c>
      <c r="B421" s="5" t="s">
        <v>2090</v>
      </c>
      <c r="C421" s="4" t="s">
        <v>507</v>
      </c>
      <c r="D421" s="4" t="s">
        <v>1505</v>
      </c>
      <c r="N421" s="5">
        <v>12</v>
      </c>
      <c r="Q421" s="5" t="str">
        <f>"5760466878661"</f>
        <v>5760466878661</v>
      </c>
    </row>
    <row r="422" spans="1:17" x14ac:dyDescent="0.3">
      <c r="A422" s="6" t="s">
        <v>2520</v>
      </c>
      <c r="B422" s="5" t="s">
        <v>2090</v>
      </c>
      <c r="C422" s="4" t="s">
        <v>508</v>
      </c>
      <c r="D422" s="4" t="s">
        <v>1506</v>
      </c>
      <c r="N422" s="5">
        <v>60</v>
      </c>
      <c r="Q422" s="5" t="str">
        <f>"6281100502418"</f>
        <v>6281100502418</v>
      </c>
    </row>
    <row r="423" spans="1:17" x14ac:dyDescent="0.3">
      <c r="A423" s="6" t="s">
        <v>2521</v>
      </c>
      <c r="B423" s="5" t="s">
        <v>2090</v>
      </c>
      <c r="C423" s="4" t="s">
        <v>509</v>
      </c>
      <c r="D423" s="4" t="s">
        <v>1507</v>
      </c>
      <c r="N423" s="5">
        <v>7</v>
      </c>
      <c r="Q423" s="5" t="str">
        <f>"6281018250180"</f>
        <v>6281018250180</v>
      </c>
    </row>
    <row r="424" spans="1:17" x14ac:dyDescent="0.3">
      <c r="A424" s="6" t="s">
        <v>2522</v>
      </c>
      <c r="B424" s="5" t="s">
        <v>2090</v>
      </c>
      <c r="C424" s="4" t="s">
        <v>510</v>
      </c>
      <c r="D424" s="4" t="s">
        <v>1508</v>
      </c>
      <c r="N424" s="5">
        <v>15.75</v>
      </c>
      <c r="Q424" s="5" t="str">
        <f>"6281048109458"</f>
        <v>6281048109458</v>
      </c>
    </row>
    <row r="425" spans="1:17" x14ac:dyDescent="0.3">
      <c r="A425" s="6" t="s">
        <v>2523</v>
      </c>
      <c r="B425" s="5" t="s">
        <v>2090</v>
      </c>
      <c r="C425" s="4" t="s">
        <v>511</v>
      </c>
      <c r="D425" s="4" t="s">
        <v>1509</v>
      </c>
      <c r="N425" s="5">
        <v>53.95</v>
      </c>
      <c r="Q425" s="5" t="str">
        <f>"2143301000008"</f>
        <v>2143301000008</v>
      </c>
    </row>
    <row r="426" spans="1:17" x14ac:dyDescent="0.3">
      <c r="A426" s="6" t="s">
        <v>2524</v>
      </c>
      <c r="B426" s="5" t="s">
        <v>2090</v>
      </c>
      <c r="C426" s="4" t="s">
        <v>512</v>
      </c>
      <c r="D426" s="4" t="s">
        <v>1510</v>
      </c>
      <c r="N426" s="5">
        <v>214.95</v>
      </c>
      <c r="Q426" s="5" t="str">
        <f>"2140945000005"</f>
        <v>2140945000005</v>
      </c>
    </row>
    <row r="427" spans="1:17" x14ac:dyDescent="0.3">
      <c r="A427" s="6" t="s">
        <v>2525</v>
      </c>
      <c r="B427" s="5" t="s">
        <v>2090</v>
      </c>
      <c r="C427" s="4" t="s">
        <v>513</v>
      </c>
      <c r="D427" s="4" t="s">
        <v>1511</v>
      </c>
      <c r="N427" s="5">
        <v>7.5</v>
      </c>
      <c r="Q427" s="5" t="str">
        <f>"6281022134049"</f>
        <v>6281022134049</v>
      </c>
    </row>
    <row r="428" spans="1:17" x14ac:dyDescent="0.3">
      <c r="A428" s="6" t="s">
        <v>2526</v>
      </c>
      <c r="B428" s="5" t="s">
        <v>2090</v>
      </c>
      <c r="C428" s="4" t="s">
        <v>514</v>
      </c>
      <c r="D428" s="4" t="s">
        <v>1512</v>
      </c>
      <c r="N428" s="5">
        <v>15.25</v>
      </c>
      <c r="Q428" s="5" t="str">
        <f>"5711953135224"</f>
        <v>5711953135224</v>
      </c>
    </row>
    <row r="429" spans="1:17" x14ac:dyDescent="0.3">
      <c r="A429" s="6" t="s">
        <v>2527</v>
      </c>
      <c r="B429" s="5" t="s">
        <v>2090</v>
      </c>
      <c r="C429" s="4" t="s">
        <v>515</v>
      </c>
      <c r="D429" s="4" t="s">
        <v>1513</v>
      </c>
      <c r="N429" s="5">
        <v>22</v>
      </c>
      <c r="Q429" s="5" t="str">
        <f>"6281024114674"</f>
        <v>6281024114674</v>
      </c>
    </row>
    <row r="430" spans="1:17" x14ac:dyDescent="0.3">
      <c r="A430" s="6" t="s">
        <v>2528</v>
      </c>
      <c r="B430" s="5" t="s">
        <v>2090</v>
      </c>
      <c r="C430" s="4" t="s">
        <v>516</v>
      </c>
      <c r="D430" s="4" t="s">
        <v>1514</v>
      </c>
      <c r="N430" s="5">
        <v>28</v>
      </c>
      <c r="Q430" s="5" t="str">
        <f>"4003751019235"</f>
        <v>4003751019235</v>
      </c>
    </row>
    <row r="431" spans="1:17" x14ac:dyDescent="0.3">
      <c r="A431" s="6" t="s">
        <v>2529</v>
      </c>
      <c r="B431" s="5" t="s">
        <v>2090</v>
      </c>
      <c r="C431" s="4" t="s">
        <v>517</v>
      </c>
      <c r="D431" s="4" t="s">
        <v>1515</v>
      </c>
      <c r="N431" s="5">
        <v>37.950000000000003</v>
      </c>
      <c r="Q431" s="5" t="str">
        <f>"5711953163906"</f>
        <v>5711953163906</v>
      </c>
    </row>
    <row r="432" spans="1:17" x14ac:dyDescent="0.3">
      <c r="A432" s="6" t="s">
        <v>2530</v>
      </c>
      <c r="B432" s="5" t="s">
        <v>2090</v>
      </c>
      <c r="C432" s="4" t="s">
        <v>518</v>
      </c>
      <c r="D432" s="4" t="s">
        <v>1516</v>
      </c>
      <c r="N432" s="5">
        <v>22</v>
      </c>
      <c r="Q432" s="5" t="str">
        <f>"6281100500285"</f>
        <v>6281100500285</v>
      </c>
    </row>
    <row r="433" spans="1:17" x14ac:dyDescent="0.3">
      <c r="A433" s="6" t="s">
        <v>2531</v>
      </c>
      <c r="B433" s="5" t="s">
        <v>2090</v>
      </c>
      <c r="C433" s="4" t="s">
        <v>519</v>
      </c>
      <c r="D433" s="4" t="s">
        <v>1517</v>
      </c>
      <c r="N433" s="5">
        <v>2.25</v>
      </c>
      <c r="Q433" s="5" t="str">
        <f>"6281007035019"</f>
        <v>6281007035019</v>
      </c>
    </row>
    <row r="434" spans="1:17" x14ac:dyDescent="0.3">
      <c r="A434" s="6" t="s">
        <v>2532</v>
      </c>
      <c r="B434" s="5" t="s">
        <v>2090</v>
      </c>
      <c r="C434" s="4" t="s">
        <v>520</v>
      </c>
      <c r="D434" s="4" t="s">
        <v>1518</v>
      </c>
      <c r="N434" s="5">
        <v>77.25</v>
      </c>
      <c r="Q434" s="5" t="str">
        <f>"6281007032322"</f>
        <v>6281007032322</v>
      </c>
    </row>
    <row r="435" spans="1:17" x14ac:dyDescent="0.3">
      <c r="A435" s="6" t="s">
        <v>2533</v>
      </c>
      <c r="B435" s="5" t="s">
        <v>2090</v>
      </c>
      <c r="C435" s="4" t="s">
        <v>521</v>
      </c>
      <c r="D435" s="4" t="s">
        <v>1519</v>
      </c>
      <c r="N435" s="5">
        <v>76.25</v>
      </c>
      <c r="Q435" s="5" t="str">
        <f>"6281022140316"</f>
        <v>6281022140316</v>
      </c>
    </row>
    <row r="436" spans="1:17" x14ac:dyDescent="0.3">
      <c r="A436" s="6" t="s">
        <v>2534</v>
      </c>
      <c r="B436" s="5" t="s">
        <v>2090</v>
      </c>
      <c r="C436" s="4" t="s">
        <v>522</v>
      </c>
      <c r="D436" s="4" t="s">
        <v>1520</v>
      </c>
      <c r="N436" s="5">
        <v>9.25</v>
      </c>
      <c r="Q436" s="5" t="str">
        <f>"6281024010907"</f>
        <v>6281024010907</v>
      </c>
    </row>
    <row r="437" spans="1:17" x14ac:dyDescent="0.3">
      <c r="A437" s="6" t="s">
        <v>2535</v>
      </c>
      <c r="B437" s="5" t="s">
        <v>2090</v>
      </c>
      <c r="C437" s="4" t="s">
        <v>523</v>
      </c>
      <c r="D437" s="4" t="s">
        <v>1521</v>
      </c>
      <c r="N437" s="5">
        <v>13</v>
      </c>
      <c r="Q437" s="5" t="str">
        <f>"5703985072585"</f>
        <v>5703985072585</v>
      </c>
    </row>
    <row r="438" spans="1:17" x14ac:dyDescent="0.3">
      <c r="A438" s="6" t="s">
        <v>2536</v>
      </c>
      <c r="B438" s="5" t="s">
        <v>2090</v>
      </c>
      <c r="C438" s="4" t="s">
        <v>524</v>
      </c>
      <c r="D438" s="4" t="s">
        <v>1522</v>
      </c>
      <c r="N438" s="5">
        <v>72.5</v>
      </c>
      <c r="Q438" s="5" t="str">
        <f>"6271002103028"</f>
        <v>6271002103028</v>
      </c>
    </row>
    <row r="439" spans="1:17" x14ac:dyDescent="0.3">
      <c r="A439" s="6" t="s">
        <v>2537</v>
      </c>
      <c r="B439" s="5" t="s">
        <v>2090</v>
      </c>
      <c r="C439" s="4" t="s">
        <v>525</v>
      </c>
      <c r="D439" s="4" t="s">
        <v>1523</v>
      </c>
      <c r="N439" s="5">
        <v>2</v>
      </c>
      <c r="Q439" s="5" t="str">
        <f>"6281007041195"</f>
        <v>6281007041195</v>
      </c>
    </row>
    <row r="440" spans="1:17" x14ac:dyDescent="0.3">
      <c r="A440" s="6" t="s">
        <v>2538</v>
      </c>
      <c r="B440" s="5" t="s">
        <v>2090</v>
      </c>
      <c r="C440" s="4" t="s">
        <v>526</v>
      </c>
      <c r="D440" s="4" t="s">
        <v>1524</v>
      </c>
      <c r="N440" s="5">
        <v>9.5</v>
      </c>
      <c r="Q440" s="5" t="str">
        <f>"6281024010709"</f>
        <v>6281024010709</v>
      </c>
    </row>
    <row r="441" spans="1:17" x14ac:dyDescent="0.3">
      <c r="A441" s="6" t="s">
        <v>2539</v>
      </c>
      <c r="B441" s="5" t="s">
        <v>2090</v>
      </c>
      <c r="C441" s="4" t="s">
        <v>527</v>
      </c>
      <c r="D441" s="4" t="s">
        <v>1525</v>
      </c>
      <c r="N441" s="5">
        <v>30.95</v>
      </c>
      <c r="Q441" s="5" t="str">
        <f>"6287007762351"</f>
        <v>6287007762351</v>
      </c>
    </row>
    <row r="442" spans="1:17" x14ac:dyDescent="0.3">
      <c r="A442" s="6" t="s">
        <v>2540</v>
      </c>
      <c r="B442" s="5" t="s">
        <v>2090</v>
      </c>
      <c r="C442" s="4" t="s">
        <v>528</v>
      </c>
      <c r="D442" s="4" t="s">
        <v>1526</v>
      </c>
      <c r="N442" s="5">
        <v>1.5</v>
      </c>
      <c r="Q442" s="5" t="str">
        <f>"6281007023887"</f>
        <v>6281007023887</v>
      </c>
    </row>
    <row r="443" spans="1:17" x14ac:dyDescent="0.3">
      <c r="A443" s="6" t="s">
        <v>2541</v>
      </c>
      <c r="B443" s="5" t="s">
        <v>2090</v>
      </c>
      <c r="C443" s="4" t="s">
        <v>529</v>
      </c>
      <c r="D443" s="4" t="s">
        <v>1527</v>
      </c>
      <c r="N443" s="5">
        <v>15.95</v>
      </c>
      <c r="Q443" s="5" t="str">
        <f>"3073780574310"</f>
        <v>3073780574310</v>
      </c>
    </row>
    <row r="444" spans="1:17" x14ac:dyDescent="0.3">
      <c r="A444" s="6" t="s">
        <v>2542</v>
      </c>
      <c r="B444" s="5" t="s">
        <v>2090</v>
      </c>
      <c r="C444" s="4" t="s">
        <v>530</v>
      </c>
      <c r="D444" s="4" t="s">
        <v>1528</v>
      </c>
      <c r="N444" s="5">
        <v>4</v>
      </c>
      <c r="Q444" s="5" t="str">
        <f>"6281057070008"</f>
        <v>6281057070008</v>
      </c>
    </row>
    <row r="445" spans="1:17" x14ac:dyDescent="0.3">
      <c r="A445" s="6" t="s">
        <v>2543</v>
      </c>
      <c r="B445" s="5" t="s">
        <v>2090</v>
      </c>
      <c r="C445" s="4" t="s">
        <v>531</v>
      </c>
      <c r="D445" s="4" t="s">
        <v>1529</v>
      </c>
      <c r="N445" s="5">
        <v>2</v>
      </c>
      <c r="Q445" s="5" t="str">
        <f>"6281022102901"</f>
        <v>6281022102901</v>
      </c>
    </row>
    <row r="446" spans="1:17" x14ac:dyDescent="0.3">
      <c r="A446" s="6" t="s">
        <v>2544</v>
      </c>
      <c r="B446" s="5" t="s">
        <v>2090</v>
      </c>
      <c r="C446" s="4" t="s">
        <v>532</v>
      </c>
      <c r="D446" s="4" t="s">
        <v>1530</v>
      </c>
      <c r="N446" s="5">
        <v>4.75</v>
      </c>
      <c r="Q446" s="5" t="str">
        <f>"3228023980186"</f>
        <v>3228023980186</v>
      </c>
    </row>
    <row r="447" spans="1:17" x14ac:dyDescent="0.3">
      <c r="A447" s="6" t="s">
        <v>2545</v>
      </c>
      <c r="B447" s="5" t="s">
        <v>2090</v>
      </c>
      <c r="C447" s="4" t="s">
        <v>533</v>
      </c>
      <c r="D447" s="4" t="s">
        <v>1531</v>
      </c>
      <c r="N447" s="5">
        <v>23.25</v>
      </c>
      <c r="Q447" s="5" t="str">
        <f>"6281026121465"</f>
        <v>6281026121465</v>
      </c>
    </row>
    <row r="448" spans="1:17" x14ac:dyDescent="0.3">
      <c r="A448" s="6" t="s">
        <v>2546</v>
      </c>
      <c r="B448" s="5" t="s">
        <v>2090</v>
      </c>
      <c r="C448" s="4" t="s">
        <v>534</v>
      </c>
      <c r="D448" s="4" t="s">
        <v>1532</v>
      </c>
      <c r="N448" s="5">
        <v>27.75</v>
      </c>
      <c r="Q448" s="5" t="str">
        <f>"6281007023979"</f>
        <v>6281007023979</v>
      </c>
    </row>
    <row r="449" spans="1:17" x14ac:dyDescent="0.3">
      <c r="A449" s="6" t="s">
        <v>2547</v>
      </c>
      <c r="B449" s="5" t="s">
        <v>2090</v>
      </c>
      <c r="C449" s="4" t="s">
        <v>535</v>
      </c>
      <c r="D449" s="4" t="s">
        <v>1533</v>
      </c>
      <c r="N449" s="5">
        <v>12.25</v>
      </c>
      <c r="Q449" s="5" t="str">
        <f>"6281039120912"</f>
        <v>6281039120912</v>
      </c>
    </row>
    <row r="450" spans="1:17" x14ac:dyDescent="0.3">
      <c r="A450" s="6" t="s">
        <v>2548</v>
      </c>
      <c r="B450" s="5" t="s">
        <v>2090</v>
      </c>
      <c r="C450" s="4" t="s">
        <v>536</v>
      </c>
      <c r="D450" s="4" t="s">
        <v>1534</v>
      </c>
      <c r="N450" s="5">
        <v>71.95</v>
      </c>
      <c r="Q450" s="5" t="str">
        <f>"2143181000006"</f>
        <v>2143181000006</v>
      </c>
    </row>
    <row r="451" spans="1:17" x14ac:dyDescent="0.3">
      <c r="A451" s="6" t="s">
        <v>2549</v>
      </c>
      <c r="B451" s="5" t="s">
        <v>2090</v>
      </c>
      <c r="C451" s="4" t="s">
        <v>537</v>
      </c>
      <c r="D451" s="4" t="s">
        <v>1535</v>
      </c>
      <c r="N451" s="5">
        <v>28</v>
      </c>
      <c r="Q451" s="5" t="str">
        <f>"6281057002122"</f>
        <v>6281057002122</v>
      </c>
    </row>
    <row r="452" spans="1:17" x14ac:dyDescent="0.3">
      <c r="A452" s="6" t="s">
        <v>2550</v>
      </c>
      <c r="B452" s="5" t="s">
        <v>2090</v>
      </c>
      <c r="C452" s="4" t="s">
        <v>538</v>
      </c>
      <c r="D452" s="4" t="s">
        <v>1536</v>
      </c>
      <c r="N452" s="5">
        <v>20.5</v>
      </c>
      <c r="Q452" s="5" t="str">
        <f>"6297000778679"</f>
        <v>6297000778679</v>
      </c>
    </row>
    <row r="453" spans="1:17" x14ac:dyDescent="0.3">
      <c r="A453" s="6" t="s">
        <v>2551</v>
      </c>
      <c r="B453" s="5" t="s">
        <v>2090</v>
      </c>
      <c r="C453" s="4" t="s">
        <v>539</v>
      </c>
      <c r="D453" s="4" t="s">
        <v>1537</v>
      </c>
      <c r="N453" s="5">
        <v>32</v>
      </c>
      <c r="Q453" s="5" t="str">
        <f>"5711953169922"</f>
        <v>5711953169922</v>
      </c>
    </row>
    <row r="454" spans="1:17" x14ac:dyDescent="0.3">
      <c r="A454" s="6" t="s">
        <v>2552</v>
      </c>
      <c r="B454" s="5" t="s">
        <v>2090</v>
      </c>
      <c r="C454" s="4" t="s">
        <v>540</v>
      </c>
      <c r="D454" s="4" t="s">
        <v>1538</v>
      </c>
      <c r="N454" s="5">
        <v>24</v>
      </c>
      <c r="Q454" s="5" t="str">
        <f>"6281057007066"</f>
        <v>6281057007066</v>
      </c>
    </row>
    <row r="455" spans="1:17" x14ac:dyDescent="0.3">
      <c r="A455" s="6" t="s">
        <v>2553</v>
      </c>
      <c r="B455" s="5" t="s">
        <v>2090</v>
      </c>
      <c r="C455" s="4" t="s">
        <v>541</v>
      </c>
      <c r="D455" s="4" t="s">
        <v>1539</v>
      </c>
      <c r="N455" s="5">
        <v>9.75</v>
      </c>
      <c r="Q455" s="5" t="str">
        <f>"6281007043359"</f>
        <v>6281007043359</v>
      </c>
    </row>
    <row r="456" spans="1:17" x14ac:dyDescent="0.3">
      <c r="A456" s="6" t="s">
        <v>2554</v>
      </c>
      <c r="B456" s="5" t="s">
        <v>2090</v>
      </c>
      <c r="C456" s="4" t="s">
        <v>542</v>
      </c>
      <c r="D456" s="4" t="s">
        <v>1540</v>
      </c>
      <c r="N456" s="5">
        <v>47.75</v>
      </c>
      <c r="Q456" s="5" t="str">
        <f>"6281026300082"</f>
        <v>6281026300082</v>
      </c>
    </row>
    <row r="457" spans="1:17" x14ac:dyDescent="0.3">
      <c r="A457" s="6" t="s">
        <v>2555</v>
      </c>
      <c r="B457" s="5" t="s">
        <v>2090</v>
      </c>
      <c r="C457" s="4" t="s">
        <v>543</v>
      </c>
      <c r="D457" s="4" t="s">
        <v>1541</v>
      </c>
      <c r="N457" s="5">
        <v>1.5</v>
      </c>
      <c r="Q457" s="5" t="str">
        <f>"6281007046046"</f>
        <v>6281007046046</v>
      </c>
    </row>
    <row r="458" spans="1:17" x14ac:dyDescent="0.3">
      <c r="A458" s="6" t="s">
        <v>2556</v>
      </c>
      <c r="B458" s="5" t="s">
        <v>2090</v>
      </c>
      <c r="C458" s="4" t="s">
        <v>544</v>
      </c>
      <c r="D458" s="4" t="s">
        <v>1542</v>
      </c>
      <c r="N458" s="5">
        <v>42.95</v>
      </c>
      <c r="Q458" s="5" t="str">
        <f>"2140296000006"</f>
        <v>2140296000006</v>
      </c>
    </row>
    <row r="459" spans="1:17" x14ac:dyDescent="0.3">
      <c r="A459" s="6" t="s">
        <v>2557</v>
      </c>
      <c r="B459" s="5" t="s">
        <v>2090</v>
      </c>
      <c r="C459" s="4" t="s">
        <v>545</v>
      </c>
      <c r="D459" s="4" t="s">
        <v>1543</v>
      </c>
      <c r="N459" s="5">
        <v>13</v>
      </c>
      <c r="Q459" s="5" t="str">
        <f>"6281100500575"</f>
        <v>6281100500575</v>
      </c>
    </row>
    <row r="460" spans="1:17" x14ac:dyDescent="0.3">
      <c r="A460" s="6" t="s">
        <v>2558</v>
      </c>
      <c r="B460" s="5" t="s">
        <v>2090</v>
      </c>
      <c r="C460" s="4" t="s">
        <v>546</v>
      </c>
      <c r="D460" s="4" t="s">
        <v>1544</v>
      </c>
      <c r="N460" s="5">
        <v>2</v>
      </c>
      <c r="Q460" s="5" t="str">
        <f>"6281057011667"</f>
        <v>6281057011667</v>
      </c>
    </row>
    <row r="461" spans="1:17" x14ac:dyDescent="0.3">
      <c r="A461" s="6" t="s">
        <v>2559</v>
      </c>
      <c r="B461" s="5" t="s">
        <v>2090</v>
      </c>
      <c r="C461" s="4" t="s">
        <v>547</v>
      </c>
      <c r="D461" s="4" t="s">
        <v>1545</v>
      </c>
      <c r="N461" s="5">
        <v>14.95</v>
      </c>
      <c r="Q461" s="5" t="str">
        <f>"5711953136542"</f>
        <v>5711953136542</v>
      </c>
    </row>
    <row r="462" spans="1:17" x14ac:dyDescent="0.3">
      <c r="A462" s="6" t="s">
        <v>2560</v>
      </c>
      <c r="B462" s="5" t="s">
        <v>2090</v>
      </c>
      <c r="C462" s="4" t="s">
        <v>548</v>
      </c>
      <c r="D462" s="4" t="s">
        <v>1546</v>
      </c>
      <c r="N462" s="5">
        <v>17</v>
      </c>
      <c r="Q462" s="5" t="str">
        <f>"6281007025799"</f>
        <v>6281007025799</v>
      </c>
    </row>
    <row r="463" spans="1:17" x14ac:dyDescent="0.3">
      <c r="A463" s="6" t="s">
        <v>2561</v>
      </c>
      <c r="B463" s="5" t="s">
        <v>2090</v>
      </c>
      <c r="C463" s="4" t="s">
        <v>549</v>
      </c>
      <c r="D463" s="4" t="s">
        <v>1547</v>
      </c>
      <c r="N463" s="5">
        <v>8.75</v>
      </c>
      <c r="Q463" s="5" t="str">
        <f>"6223003771225"</f>
        <v>6223003771225</v>
      </c>
    </row>
    <row r="464" spans="1:17" x14ac:dyDescent="0.3">
      <c r="A464" s="6" t="s">
        <v>2562</v>
      </c>
      <c r="B464" s="5" t="s">
        <v>2090</v>
      </c>
      <c r="C464" s="4" t="s">
        <v>550</v>
      </c>
      <c r="D464" s="4" t="s">
        <v>1548</v>
      </c>
      <c r="N464" s="5">
        <v>2.5</v>
      </c>
      <c r="Q464" s="5" t="str">
        <f>"6281022118223"</f>
        <v>6281022118223</v>
      </c>
    </row>
    <row r="465" spans="1:17" x14ac:dyDescent="0.3">
      <c r="A465" s="6" t="s">
        <v>2563</v>
      </c>
      <c r="B465" s="5" t="s">
        <v>2090</v>
      </c>
      <c r="C465" s="4" t="s">
        <v>551</v>
      </c>
      <c r="D465" s="4" t="s">
        <v>1549</v>
      </c>
      <c r="N465" s="5">
        <v>16.95</v>
      </c>
      <c r="Q465" s="5" t="str">
        <f>"5711953074523"</f>
        <v>5711953074523</v>
      </c>
    </row>
    <row r="466" spans="1:17" x14ac:dyDescent="0.3">
      <c r="A466" s="6" t="s">
        <v>2564</v>
      </c>
      <c r="B466" s="5" t="s">
        <v>2090</v>
      </c>
      <c r="C466" s="4" t="s">
        <v>552</v>
      </c>
      <c r="D466" s="4" t="s">
        <v>1550</v>
      </c>
      <c r="N466" s="5">
        <v>11.95</v>
      </c>
      <c r="Q466" s="5" t="str">
        <f>"6281048100684"</f>
        <v>6281048100684</v>
      </c>
    </row>
    <row r="467" spans="1:17" x14ac:dyDescent="0.3">
      <c r="A467" s="6" t="s">
        <v>2565</v>
      </c>
      <c r="B467" s="5" t="s">
        <v>2090</v>
      </c>
      <c r="C467" s="4" t="s">
        <v>553</v>
      </c>
      <c r="D467" s="4" t="s">
        <v>1551</v>
      </c>
      <c r="N467" s="5">
        <v>21.95</v>
      </c>
      <c r="Q467" s="5" t="str">
        <f>"6281024010648"</f>
        <v>6281024010648</v>
      </c>
    </row>
    <row r="468" spans="1:17" x14ac:dyDescent="0.3">
      <c r="A468" s="6" t="s">
        <v>2566</v>
      </c>
      <c r="B468" s="5" t="s">
        <v>2090</v>
      </c>
      <c r="C468" s="4" t="s">
        <v>554</v>
      </c>
      <c r="D468" s="4" t="s">
        <v>1552</v>
      </c>
      <c r="N468" s="5">
        <v>8.9499999999999993</v>
      </c>
      <c r="Q468" s="5" t="str">
        <f>"6281057001897"</f>
        <v>6281057001897</v>
      </c>
    </row>
    <row r="469" spans="1:17" x14ac:dyDescent="0.3">
      <c r="A469" s="6" t="s">
        <v>2567</v>
      </c>
      <c r="B469" s="5" t="s">
        <v>2090</v>
      </c>
      <c r="C469" s="4" t="s">
        <v>555</v>
      </c>
      <c r="D469" s="4" t="s">
        <v>1553</v>
      </c>
      <c r="N469" s="5">
        <v>27</v>
      </c>
      <c r="Q469" s="5" t="str">
        <f>"5411188543381"</f>
        <v>5411188543381</v>
      </c>
    </row>
    <row r="470" spans="1:17" x14ac:dyDescent="0.3">
      <c r="A470" s="6" t="s">
        <v>2568</v>
      </c>
      <c r="B470" s="5" t="s">
        <v>2090</v>
      </c>
      <c r="C470" s="4" t="s">
        <v>556</v>
      </c>
      <c r="D470" s="4" t="s">
        <v>1554</v>
      </c>
      <c r="N470" s="5">
        <v>17</v>
      </c>
      <c r="Q470" s="5" t="str">
        <f>"6281020322332"</f>
        <v>6281020322332</v>
      </c>
    </row>
    <row r="471" spans="1:17" x14ac:dyDescent="0.3">
      <c r="A471" s="6" t="s">
        <v>2569</v>
      </c>
      <c r="B471" s="5" t="s">
        <v>2090</v>
      </c>
      <c r="C471" s="4" t="s">
        <v>557</v>
      </c>
      <c r="D471" s="4" t="s">
        <v>1555</v>
      </c>
      <c r="N471" s="5">
        <v>5.45</v>
      </c>
      <c r="Q471" s="5" t="str">
        <f>"6281018302988"</f>
        <v>6281018302988</v>
      </c>
    </row>
    <row r="472" spans="1:17" x14ac:dyDescent="0.3">
      <c r="A472" s="6" t="s">
        <v>2570</v>
      </c>
      <c r="B472" s="5" t="s">
        <v>2090</v>
      </c>
      <c r="C472" s="4" t="s">
        <v>558</v>
      </c>
      <c r="D472" s="4" t="s">
        <v>1556</v>
      </c>
      <c r="N472" s="5">
        <v>34.950000000000003</v>
      </c>
      <c r="Q472" s="5" t="str">
        <f>"2144138000001"</f>
        <v>2144138000001</v>
      </c>
    </row>
    <row r="473" spans="1:17" x14ac:dyDescent="0.3">
      <c r="A473" s="6" t="s">
        <v>2571</v>
      </c>
      <c r="B473" s="5" t="s">
        <v>2090</v>
      </c>
      <c r="C473" s="4" t="s">
        <v>559</v>
      </c>
      <c r="D473" s="4" t="s">
        <v>1557</v>
      </c>
      <c r="N473" s="5">
        <v>9.9499999999999993</v>
      </c>
      <c r="Q473" s="5" t="str">
        <f>"3155250365083"</f>
        <v>3155250365083</v>
      </c>
    </row>
    <row r="474" spans="1:17" x14ac:dyDescent="0.3">
      <c r="A474" s="6" t="s">
        <v>2572</v>
      </c>
      <c r="B474" s="5" t="s">
        <v>2090</v>
      </c>
      <c r="C474" s="4" t="s">
        <v>560</v>
      </c>
      <c r="D474" s="4" t="s">
        <v>1558</v>
      </c>
      <c r="N474" s="5">
        <v>7</v>
      </c>
      <c r="Q474" s="5" t="str">
        <f>"6281018305743"</f>
        <v>6281018305743</v>
      </c>
    </row>
    <row r="475" spans="1:17" x14ac:dyDescent="0.3">
      <c r="A475" s="6" t="s">
        <v>2573</v>
      </c>
      <c r="B475" s="5" t="s">
        <v>2090</v>
      </c>
      <c r="C475" s="4" t="s">
        <v>561</v>
      </c>
      <c r="D475" s="4" t="s">
        <v>1559</v>
      </c>
      <c r="N475" s="5">
        <v>14.5</v>
      </c>
      <c r="Q475" s="5" t="str">
        <f>"6281018167815"</f>
        <v>6281018167815</v>
      </c>
    </row>
    <row r="476" spans="1:17" x14ac:dyDescent="0.3">
      <c r="A476" s="6" t="s">
        <v>2574</v>
      </c>
      <c r="B476" s="5" t="s">
        <v>2090</v>
      </c>
      <c r="C476" s="4" t="s">
        <v>562</v>
      </c>
      <c r="D476" s="4" t="s">
        <v>1560</v>
      </c>
      <c r="N476" s="5">
        <v>20.25</v>
      </c>
      <c r="Q476" s="5" t="str">
        <f>"5711953155390"</f>
        <v>5711953155390</v>
      </c>
    </row>
    <row r="477" spans="1:17" x14ac:dyDescent="0.3">
      <c r="A477" s="6" t="s">
        <v>2575</v>
      </c>
      <c r="B477" s="5" t="s">
        <v>2090</v>
      </c>
      <c r="C477" s="4" t="s">
        <v>563</v>
      </c>
      <c r="D477" s="4" t="s">
        <v>1561</v>
      </c>
      <c r="N477" s="5">
        <v>7</v>
      </c>
      <c r="Q477" s="5" t="str">
        <f>"6281018154945"</f>
        <v>6281018154945</v>
      </c>
    </row>
    <row r="478" spans="1:17" x14ac:dyDescent="0.3">
      <c r="A478" s="6" t="s">
        <v>2576</v>
      </c>
      <c r="B478" s="5" t="s">
        <v>2090</v>
      </c>
      <c r="C478" s="4" t="s">
        <v>564</v>
      </c>
      <c r="D478" s="4" t="s">
        <v>1562</v>
      </c>
      <c r="N478" s="5">
        <v>10.5</v>
      </c>
      <c r="Q478" s="5" t="str">
        <f>"6281051002265"</f>
        <v>6281051002265</v>
      </c>
    </row>
    <row r="479" spans="1:17" x14ac:dyDescent="0.3">
      <c r="A479" s="6" t="s">
        <v>2577</v>
      </c>
      <c r="B479" s="5" t="s">
        <v>2090</v>
      </c>
      <c r="C479" s="4" t="s">
        <v>565</v>
      </c>
      <c r="D479" s="4" t="s">
        <v>1563</v>
      </c>
      <c r="N479" s="5">
        <v>10</v>
      </c>
      <c r="Q479" s="5" t="str">
        <f>"6281024110102"</f>
        <v>6281024110102</v>
      </c>
    </row>
    <row r="480" spans="1:17" x14ac:dyDescent="0.3">
      <c r="A480" s="6" t="s">
        <v>2578</v>
      </c>
      <c r="B480" s="5" t="s">
        <v>2090</v>
      </c>
      <c r="C480" s="4" t="s">
        <v>566</v>
      </c>
      <c r="D480" s="4" t="s">
        <v>1564</v>
      </c>
      <c r="N480" s="5">
        <v>39.950000000000003</v>
      </c>
      <c r="Q480" s="5" t="str">
        <f>"2144430000006"</f>
        <v>2144430000006</v>
      </c>
    </row>
    <row r="481" spans="1:17" x14ac:dyDescent="0.3">
      <c r="A481" s="6" t="s">
        <v>2579</v>
      </c>
      <c r="B481" s="5" t="s">
        <v>2090</v>
      </c>
      <c r="C481" s="4" t="s">
        <v>567</v>
      </c>
      <c r="D481" s="4" t="s">
        <v>1565</v>
      </c>
      <c r="N481" s="5">
        <v>1.25</v>
      </c>
      <c r="Q481" s="5" t="str">
        <f>"6281057007264"</f>
        <v>6281057007264</v>
      </c>
    </row>
    <row r="482" spans="1:17" x14ac:dyDescent="0.3">
      <c r="A482" s="6" t="s">
        <v>2580</v>
      </c>
      <c r="B482" s="5" t="s">
        <v>2090</v>
      </c>
      <c r="C482" s="4" t="s">
        <v>568</v>
      </c>
      <c r="D482" s="4" t="s">
        <v>1566</v>
      </c>
      <c r="N482" s="5">
        <v>48.25</v>
      </c>
      <c r="Q482" s="5" t="str">
        <f>"3161911703385"</f>
        <v>3161911703385</v>
      </c>
    </row>
    <row r="483" spans="1:17" x14ac:dyDescent="0.3">
      <c r="A483" s="6" t="s">
        <v>2581</v>
      </c>
      <c r="B483" s="5" t="s">
        <v>2090</v>
      </c>
      <c r="C483" s="4" t="s">
        <v>569</v>
      </c>
      <c r="D483" s="4" t="s">
        <v>1567</v>
      </c>
      <c r="N483" s="5">
        <v>2</v>
      </c>
      <c r="Q483" s="5" t="str">
        <f>"6281022130409"</f>
        <v>6281022130409</v>
      </c>
    </row>
    <row r="484" spans="1:17" x14ac:dyDescent="0.3">
      <c r="A484" s="6" t="s">
        <v>2582</v>
      </c>
      <c r="B484" s="5" t="s">
        <v>2090</v>
      </c>
      <c r="C484" s="4" t="s">
        <v>570</v>
      </c>
      <c r="D484" s="4" t="s">
        <v>1568</v>
      </c>
      <c r="N484" s="5">
        <v>16.95</v>
      </c>
      <c r="Q484" s="5" t="str">
        <f>"5711953074547"</f>
        <v>5711953074547</v>
      </c>
    </row>
    <row r="485" spans="1:17" x14ac:dyDescent="0.3">
      <c r="A485" s="6" t="s">
        <v>2583</v>
      </c>
      <c r="B485" s="5" t="s">
        <v>2090</v>
      </c>
      <c r="C485" s="4" t="s">
        <v>571</v>
      </c>
      <c r="D485" s="4" t="s">
        <v>1569</v>
      </c>
      <c r="N485" s="5">
        <v>23.5</v>
      </c>
      <c r="Q485" s="5" t="str">
        <f>"5711953113505"</f>
        <v>5711953113505</v>
      </c>
    </row>
    <row r="486" spans="1:17" x14ac:dyDescent="0.3">
      <c r="A486" s="6" t="s">
        <v>2584</v>
      </c>
      <c r="B486" s="5" t="s">
        <v>2090</v>
      </c>
      <c r="C486" s="4" t="s">
        <v>572</v>
      </c>
      <c r="D486" s="4" t="s">
        <v>1570</v>
      </c>
      <c r="N486" s="5">
        <v>82.95</v>
      </c>
      <c r="Q486" s="5" t="str">
        <f>"2143720000009"</f>
        <v>2143720000009</v>
      </c>
    </row>
    <row r="487" spans="1:17" x14ac:dyDescent="0.3">
      <c r="A487" s="6" t="s">
        <v>2585</v>
      </c>
      <c r="B487" s="5" t="s">
        <v>2090</v>
      </c>
      <c r="C487" s="4" t="s">
        <v>573</v>
      </c>
      <c r="D487" s="4" t="s">
        <v>1571</v>
      </c>
      <c r="N487" s="5">
        <v>6</v>
      </c>
      <c r="Q487" s="5" t="str">
        <f>"6281057090006"</f>
        <v>6281057090006</v>
      </c>
    </row>
    <row r="488" spans="1:17" x14ac:dyDescent="0.3">
      <c r="A488" s="6" t="s">
        <v>2586</v>
      </c>
      <c r="B488" s="5" t="s">
        <v>2090</v>
      </c>
      <c r="C488" s="4" t="s">
        <v>574</v>
      </c>
      <c r="D488" s="4" t="s">
        <v>1572</v>
      </c>
      <c r="N488" s="5">
        <v>17.95</v>
      </c>
      <c r="Q488" s="5" t="str">
        <f>"3251350163007"</f>
        <v>3251350163007</v>
      </c>
    </row>
    <row r="489" spans="1:17" x14ac:dyDescent="0.3">
      <c r="A489" s="6" t="s">
        <v>2587</v>
      </c>
      <c r="B489" s="5" t="s">
        <v>2090</v>
      </c>
      <c r="C489" s="4" t="s">
        <v>575</v>
      </c>
      <c r="D489" s="4" t="s">
        <v>1573</v>
      </c>
      <c r="N489" s="5">
        <v>30.25</v>
      </c>
      <c r="Q489" s="5" t="str">
        <f>"6281020320949"</f>
        <v>6281020320949</v>
      </c>
    </row>
    <row r="490" spans="1:17" x14ac:dyDescent="0.3">
      <c r="A490" s="6" t="s">
        <v>2588</v>
      </c>
      <c r="B490" s="5" t="s">
        <v>2090</v>
      </c>
      <c r="C490" s="4" t="s">
        <v>576</v>
      </c>
      <c r="D490" s="4" t="s">
        <v>1574</v>
      </c>
      <c r="N490" s="5">
        <v>38.950000000000003</v>
      </c>
      <c r="Q490" s="5" t="str">
        <f>"2145862000008"</f>
        <v>2145862000008</v>
      </c>
    </row>
    <row r="491" spans="1:17" x14ac:dyDescent="0.3">
      <c r="A491" s="6" t="s">
        <v>2589</v>
      </c>
      <c r="B491" s="5" t="s">
        <v>2090</v>
      </c>
      <c r="C491" s="4" t="s">
        <v>577</v>
      </c>
      <c r="D491" s="4" t="s">
        <v>1575</v>
      </c>
      <c r="N491" s="5">
        <v>12.95</v>
      </c>
      <c r="Q491" s="5" t="str">
        <f>"6281007061742"</f>
        <v>6281007061742</v>
      </c>
    </row>
    <row r="492" spans="1:17" x14ac:dyDescent="0.3">
      <c r="A492" s="6" t="s">
        <v>2590</v>
      </c>
      <c r="B492" s="5" t="s">
        <v>2090</v>
      </c>
      <c r="C492" s="4" t="s">
        <v>578</v>
      </c>
      <c r="D492" s="4" t="s">
        <v>1576</v>
      </c>
      <c r="N492" s="5">
        <v>26.95</v>
      </c>
      <c r="Q492" s="5" t="str">
        <f>"6281048100707"</f>
        <v>6281048100707</v>
      </c>
    </row>
    <row r="493" spans="1:17" x14ac:dyDescent="0.3">
      <c r="A493" s="6" t="s">
        <v>2591</v>
      </c>
      <c r="B493" s="5" t="s">
        <v>2090</v>
      </c>
      <c r="C493" s="4" t="s">
        <v>579</v>
      </c>
      <c r="D493" s="4" t="s">
        <v>1577</v>
      </c>
      <c r="N493" s="5">
        <v>31</v>
      </c>
      <c r="Q493" s="5" t="str">
        <f>"6281039172539"</f>
        <v>6281039172539</v>
      </c>
    </row>
    <row r="494" spans="1:17" x14ac:dyDescent="0.3">
      <c r="A494" s="6" t="s">
        <v>2592</v>
      </c>
      <c r="B494" s="5" t="s">
        <v>2090</v>
      </c>
      <c r="C494" s="4" t="s">
        <v>580</v>
      </c>
      <c r="D494" s="4" t="s">
        <v>1578</v>
      </c>
      <c r="N494" s="5">
        <v>4.95</v>
      </c>
      <c r="Q494" s="5" t="str">
        <f>"5760466747288"</f>
        <v>5760466747288</v>
      </c>
    </row>
    <row r="495" spans="1:17" x14ac:dyDescent="0.3">
      <c r="A495" s="6" t="s">
        <v>2593</v>
      </c>
      <c r="B495" s="5" t="s">
        <v>2090</v>
      </c>
      <c r="C495" s="4" t="s">
        <v>581</v>
      </c>
      <c r="D495" s="4" t="s">
        <v>1579</v>
      </c>
      <c r="N495" s="5">
        <v>9.5</v>
      </c>
      <c r="Q495" s="5" t="str">
        <f>"6281024110126"</f>
        <v>6281024110126</v>
      </c>
    </row>
    <row r="496" spans="1:17" x14ac:dyDescent="0.3">
      <c r="A496" s="6" t="s">
        <v>2594</v>
      </c>
      <c r="B496" s="5" t="s">
        <v>2090</v>
      </c>
      <c r="C496" s="4" t="s">
        <v>582</v>
      </c>
      <c r="D496" s="4" t="s">
        <v>1580</v>
      </c>
      <c r="N496" s="5">
        <v>87.95</v>
      </c>
      <c r="Q496" s="5" t="str">
        <f>"2147571000003"</f>
        <v>2147571000003</v>
      </c>
    </row>
    <row r="497" spans="1:17" x14ac:dyDescent="0.3">
      <c r="A497" s="6" t="s">
        <v>2595</v>
      </c>
      <c r="B497" s="5" t="s">
        <v>2090</v>
      </c>
      <c r="C497" s="4" t="s">
        <v>583</v>
      </c>
      <c r="D497" s="4" t="s">
        <v>1581</v>
      </c>
      <c r="N497" s="5">
        <v>70.95</v>
      </c>
      <c r="Q497" s="5" t="str">
        <f>"2143266000006"</f>
        <v>2143266000006</v>
      </c>
    </row>
    <row r="498" spans="1:17" x14ac:dyDescent="0.3">
      <c r="A498" s="6" t="s">
        <v>2596</v>
      </c>
      <c r="B498" s="5" t="s">
        <v>2090</v>
      </c>
      <c r="C498" s="4" t="s">
        <v>584</v>
      </c>
      <c r="D498" s="4" t="s">
        <v>1582</v>
      </c>
      <c r="N498" s="5">
        <v>30.5</v>
      </c>
      <c r="Q498" s="5" t="str">
        <f>"6271002190424"</f>
        <v>6271002190424</v>
      </c>
    </row>
    <row r="499" spans="1:17" x14ac:dyDescent="0.3">
      <c r="A499" s="6" t="s">
        <v>2597</v>
      </c>
      <c r="B499" s="5" t="s">
        <v>2090</v>
      </c>
      <c r="C499" s="4" t="s">
        <v>585</v>
      </c>
      <c r="D499" s="4" t="s">
        <v>1583</v>
      </c>
      <c r="N499" s="5">
        <v>61</v>
      </c>
      <c r="Q499" s="5" t="str">
        <f>"6281100504030"</f>
        <v>6281100504030</v>
      </c>
    </row>
    <row r="500" spans="1:17" x14ac:dyDescent="0.3">
      <c r="A500" s="6" t="s">
        <v>2598</v>
      </c>
      <c r="B500" s="5" t="s">
        <v>2090</v>
      </c>
      <c r="C500" s="4" t="s">
        <v>586</v>
      </c>
      <c r="D500" s="4" t="s">
        <v>1584</v>
      </c>
      <c r="N500" s="5">
        <v>13</v>
      </c>
      <c r="Q500" s="5" t="str">
        <f>"5711953113529"</f>
        <v>5711953113529</v>
      </c>
    </row>
    <row r="501" spans="1:17" x14ac:dyDescent="0.3">
      <c r="A501" s="6" t="s">
        <v>2599</v>
      </c>
      <c r="B501" s="5" t="s">
        <v>2090</v>
      </c>
      <c r="C501" s="4" t="s">
        <v>587</v>
      </c>
      <c r="D501" s="4" t="s">
        <v>1585</v>
      </c>
      <c r="N501" s="5">
        <v>7.75</v>
      </c>
      <c r="Q501" s="5" t="str">
        <f>"6281100502456"</f>
        <v>6281100502456</v>
      </c>
    </row>
    <row r="502" spans="1:17" x14ac:dyDescent="0.3">
      <c r="A502" s="6" t="s">
        <v>2600</v>
      </c>
      <c r="B502" s="5" t="s">
        <v>2090</v>
      </c>
      <c r="C502" s="4" t="s">
        <v>588</v>
      </c>
      <c r="D502" s="4" t="s">
        <v>1586</v>
      </c>
      <c r="N502" s="5">
        <v>39.950000000000003</v>
      </c>
      <c r="Q502" s="5" t="str">
        <f>"2143085000003"</f>
        <v>2143085000003</v>
      </c>
    </row>
    <row r="503" spans="1:17" x14ac:dyDescent="0.3">
      <c r="A503" s="6" t="s">
        <v>2601</v>
      </c>
      <c r="B503" s="5" t="s">
        <v>2090</v>
      </c>
      <c r="C503" s="4" t="s">
        <v>589</v>
      </c>
      <c r="D503" s="4" t="s">
        <v>1587</v>
      </c>
      <c r="N503" s="5">
        <v>6.75</v>
      </c>
      <c r="Q503" s="5" t="str">
        <f>"6287004520367"</f>
        <v>6287004520367</v>
      </c>
    </row>
    <row r="504" spans="1:17" x14ac:dyDescent="0.3">
      <c r="A504" s="6" t="s">
        <v>2602</v>
      </c>
      <c r="B504" s="5" t="s">
        <v>2090</v>
      </c>
      <c r="C504" s="4" t="s">
        <v>590</v>
      </c>
      <c r="D504" s="4" t="s">
        <v>1588</v>
      </c>
      <c r="N504" s="5">
        <v>2</v>
      </c>
      <c r="Q504" s="5" t="str">
        <f>"6281007030410"</f>
        <v>6281007030410</v>
      </c>
    </row>
    <row r="505" spans="1:17" x14ac:dyDescent="0.3">
      <c r="A505" s="6" t="s">
        <v>2603</v>
      </c>
      <c r="B505" s="5" t="s">
        <v>2090</v>
      </c>
      <c r="C505" s="4" t="s">
        <v>591</v>
      </c>
      <c r="D505" s="4" t="s">
        <v>1589</v>
      </c>
      <c r="N505" s="5">
        <v>32</v>
      </c>
      <c r="Q505" s="5" t="str">
        <f>"3073780904148"</f>
        <v>3073780904148</v>
      </c>
    </row>
    <row r="506" spans="1:17" x14ac:dyDescent="0.3">
      <c r="A506" s="6" t="s">
        <v>2604</v>
      </c>
      <c r="B506" s="5" t="s">
        <v>2090</v>
      </c>
      <c r="C506" s="4" t="s">
        <v>592</v>
      </c>
      <c r="D506" s="4" t="s">
        <v>1590</v>
      </c>
      <c r="N506" s="5">
        <v>36.950000000000003</v>
      </c>
      <c r="Q506" s="5" t="str">
        <f>"3228022970195"</f>
        <v>3228022970195</v>
      </c>
    </row>
    <row r="507" spans="1:17" x14ac:dyDescent="0.3">
      <c r="A507" s="6" t="s">
        <v>2605</v>
      </c>
      <c r="B507" s="5" t="s">
        <v>2090</v>
      </c>
      <c r="C507" s="4" t="s">
        <v>593</v>
      </c>
      <c r="D507" s="4" t="s">
        <v>1591</v>
      </c>
      <c r="N507" s="5">
        <v>9.75</v>
      </c>
      <c r="Q507" s="5" t="str">
        <f>"6281057062652"</f>
        <v>6281057062652</v>
      </c>
    </row>
    <row r="508" spans="1:17" x14ac:dyDescent="0.3">
      <c r="A508" s="6" t="s">
        <v>2606</v>
      </c>
      <c r="B508" s="5" t="s">
        <v>2090</v>
      </c>
      <c r="C508" s="4" t="s">
        <v>594</v>
      </c>
      <c r="D508" s="4" t="s">
        <v>1592</v>
      </c>
      <c r="N508" s="5">
        <v>14.95</v>
      </c>
      <c r="Q508" s="5" t="str">
        <f>"5711953136566"</f>
        <v>5711953136566</v>
      </c>
    </row>
    <row r="509" spans="1:17" x14ac:dyDescent="0.3">
      <c r="A509" s="6" t="s">
        <v>2607</v>
      </c>
      <c r="B509" s="5" t="s">
        <v>2090</v>
      </c>
      <c r="C509" s="4" t="s">
        <v>595</v>
      </c>
      <c r="D509" s="4" t="s">
        <v>1593</v>
      </c>
      <c r="N509" s="5">
        <v>9.5</v>
      </c>
      <c r="Q509" s="5" t="str">
        <f>"6281057062676"</f>
        <v>6281057062676</v>
      </c>
    </row>
    <row r="510" spans="1:17" x14ac:dyDescent="0.3">
      <c r="A510" s="6" t="s">
        <v>2608</v>
      </c>
      <c r="B510" s="5" t="s">
        <v>2090</v>
      </c>
      <c r="C510" s="4" t="s">
        <v>596</v>
      </c>
      <c r="D510" s="4" t="s">
        <v>1594</v>
      </c>
      <c r="N510" s="5">
        <v>2</v>
      </c>
      <c r="Q510" s="5" t="str">
        <f>"6281022110821"</f>
        <v>6281022110821</v>
      </c>
    </row>
    <row r="511" spans="1:17" x14ac:dyDescent="0.3">
      <c r="A511" s="6" t="s">
        <v>2609</v>
      </c>
      <c r="B511" s="5" t="s">
        <v>2090</v>
      </c>
      <c r="C511" s="4" t="s">
        <v>597</v>
      </c>
      <c r="D511" s="4" t="s">
        <v>1595</v>
      </c>
      <c r="N511" s="5">
        <v>5</v>
      </c>
      <c r="Q511" s="5" t="str">
        <f>"6281057002627"</f>
        <v>6281057002627</v>
      </c>
    </row>
    <row r="512" spans="1:17" x14ac:dyDescent="0.3">
      <c r="A512" s="6" t="s">
        <v>2610</v>
      </c>
      <c r="B512" s="5" t="s">
        <v>2090</v>
      </c>
      <c r="C512" s="4" t="s">
        <v>598</v>
      </c>
      <c r="D512" s="4" t="s">
        <v>1596</v>
      </c>
      <c r="N512" s="5">
        <v>24.95</v>
      </c>
      <c r="Q512" s="5" t="str">
        <f>"2144800000001"</f>
        <v>2144800000001</v>
      </c>
    </row>
    <row r="513" spans="1:17" x14ac:dyDescent="0.3">
      <c r="A513" s="6" t="s">
        <v>2611</v>
      </c>
      <c r="B513" s="5" t="s">
        <v>2090</v>
      </c>
      <c r="C513" s="4" t="s">
        <v>599</v>
      </c>
      <c r="D513" s="4" t="s">
        <v>1597</v>
      </c>
      <c r="N513" s="5">
        <v>18.95</v>
      </c>
      <c r="Q513" s="5" t="str">
        <f>"6297000670379"</f>
        <v>6297000670379</v>
      </c>
    </row>
    <row r="514" spans="1:17" x14ac:dyDescent="0.3">
      <c r="A514" s="6" t="s">
        <v>2612</v>
      </c>
      <c r="B514" s="5" t="s">
        <v>2090</v>
      </c>
      <c r="C514" s="4" t="s">
        <v>600</v>
      </c>
      <c r="D514" s="4" t="s">
        <v>1598</v>
      </c>
      <c r="N514" s="5">
        <v>1.5</v>
      </c>
      <c r="Q514" s="5" t="str">
        <f>"6281007038898"</f>
        <v>6281007038898</v>
      </c>
    </row>
    <row r="515" spans="1:17" x14ac:dyDescent="0.3">
      <c r="A515" s="6" t="s">
        <v>2613</v>
      </c>
      <c r="B515" s="5" t="s">
        <v>2090</v>
      </c>
      <c r="C515" s="4" t="s">
        <v>601</v>
      </c>
      <c r="D515" s="4" t="s">
        <v>1599</v>
      </c>
      <c r="N515" s="5">
        <v>13.5</v>
      </c>
      <c r="Q515" s="5" t="str">
        <f>"6281100505518"</f>
        <v>6281100505518</v>
      </c>
    </row>
    <row r="516" spans="1:17" x14ac:dyDescent="0.3">
      <c r="A516" s="6" t="s">
        <v>2614</v>
      </c>
      <c r="B516" s="5" t="s">
        <v>2090</v>
      </c>
      <c r="C516" s="4" t="s">
        <v>602</v>
      </c>
      <c r="D516" s="4" t="s">
        <v>1600</v>
      </c>
      <c r="N516" s="5">
        <v>33</v>
      </c>
      <c r="Q516" s="5" t="str">
        <f>"6281007036177"</f>
        <v>6281007036177</v>
      </c>
    </row>
    <row r="517" spans="1:17" x14ac:dyDescent="0.3">
      <c r="A517" s="6" t="s">
        <v>2615</v>
      </c>
      <c r="B517" s="5" t="s">
        <v>2090</v>
      </c>
      <c r="C517" s="4" t="s">
        <v>603</v>
      </c>
      <c r="D517" s="4" t="s">
        <v>1601</v>
      </c>
      <c r="N517" s="5">
        <v>49.5</v>
      </c>
      <c r="Q517" s="5" t="str">
        <f>"6281039106138"</f>
        <v>6281039106138</v>
      </c>
    </row>
    <row r="518" spans="1:17" x14ac:dyDescent="0.3">
      <c r="A518" s="6" t="s">
        <v>2616</v>
      </c>
      <c r="B518" s="5" t="s">
        <v>2090</v>
      </c>
      <c r="C518" s="4" t="s">
        <v>604</v>
      </c>
      <c r="D518" s="4" t="s">
        <v>1602</v>
      </c>
      <c r="N518" s="5">
        <v>1.25</v>
      </c>
      <c r="Q518" s="5" t="str">
        <f>"6281039172119"</f>
        <v>6281039172119</v>
      </c>
    </row>
    <row r="519" spans="1:17" x14ac:dyDescent="0.3">
      <c r="A519" s="6" t="s">
        <v>2617</v>
      </c>
      <c r="B519" s="5" t="s">
        <v>2090</v>
      </c>
      <c r="C519" s="4" t="s">
        <v>605</v>
      </c>
      <c r="D519" s="4" t="s">
        <v>1603</v>
      </c>
      <c r="N519" s="5">
        <v>24.95</v>
      </c>
      <c r="Q519" s="5" t="str">
        <f>"6281048114476"</f>
        <v>6281048114476</v>
      </c>
    </row>
    <row r="520" spans="1:17" x14ac:dyDescent="0.3">
      <c r="A520" s="6" t="s">
        <v>2618</v>
      </c>
      <c r="B520" s="5" t="s">
        <v>2090</v>
      </c>
      <c r="C520" s="4" t="s">
        <v>606</v>
      </c>
      <c r="D520" s="4" t="s">
        <v>1604</v>
      </c>
      <c r="N520" s="5">
        <v>86.95</v>
      </c>
      <c r="Q520" s="5" t="str">
        <f>"2140541000003"</f>
        <v>2140541000003</v>
      </c>
    </row>
    <row r="521" spans="1:17" x14ac:dyDescent="0.3">
      <c r="A521" s="6" t="s">
        <v>2619</v>
      </c>
      <c r="B521" s="5" t="s">
        <v>2090</v>
      </c>
      <c r="C521" s="4" t="s">
        <v>607</v>
      </c>
      <c r="D521" s="4" t="s">
        <v>1605</v>
      </c>
      <c r="N521" s="5">
        <v>7.95</v>
      </c>
      <c r="Q521" s="5" t="str">
        <f>"6281057001798"</f>
        <v>6281057001798</v>
      </c>
    </row>
    <row r="522" spans="1:17" x14ac:dyDescent="0.3">
      <c r="A522" s="6" t="s">
        <v>2620</v>
      </c>
      <c r="B522" s="5" t="s">
        <v>2090</v>
      </c>
      <c r="C522" s="4" t="s">
        <v>608</v>
      </c>
      <c r="D522" s="4" t="s">
        <v>1606</v>
      </c>
      <c r="N522" s="5">
        <v>2</v>
      </c>
      <c r="Q522" s="5" t="str">
        <f>"6281057005611"</f>
        <v>6281057005611</v>
      </c>
    </row>
    <row r="523" spans="1:17" x14ac:dyDescent="0.3">
      <c r="A523" s="6" t="s">
        <v>2621</v>
      </c>
      <c r="B523" s="5" t="s">
        <v>2090</v>
      </c>
      <c r="C523" s="4" t="s">
        <v>609</v>
      </c>
      <c r="D523" s="4" t="s">
        <v>1607</v>
      </c>
      <c r="N523" s="5">
        <v>2</v>
      </c>
      <c r="Q523" s="5" t="str">
        <f>"6281022103816"</f>
        <v>6281022103816</v>
      </c>
    </row>
    <row r="524" spans="1:17" x14ac:dyDescent="0.3">
      <c r="A524" s="6" t="s">
        <v>2622</v>
      </c>
      <c r="B524" s="5" t="s">
        <v>2090</v>
      </c>
      <c r="C524" s="4" t="s">
        <v>610</v>
      </c>
      <c r="D524" s="4" t="s">
        <v>1608</v>
      </c>
      <c r="N524" s="5">
        <v>36.950000000000003</v>
      </c>
      <c r="Q524" s="5" t="str">
        <f>"6287007762344"</f>
        <v>6287007762344</v>
      </c>
    </row>
    <row r="525" spans="1:17" x14ac:dyDescent="0.3">
      <c r="A525" s="6" t="s">
        <v>2623</v>
      </c>
      <c r="B525" s="5" t="s">
        <v>2090</v>
      </c>
      <c r="C525" s="4" t="s">
        <v>611</v>
      </c>
      <c r="D525" s="4" t="s">
        <v>1609</v>
      </c>
      <c r="N525" s="5">
        <v>21.95</v>
      </c>
      <c r="Q525" s="5" t="str">
        <f>"6281024010402"</f>
        <v>6281024010402</v>
      </c>
    </row>
    <row r="526" spans="1:17" x14ac:dyDescent="0.3">
      <c r="A526" s="6" t="s">
        <v>2624</v>
      </c>
      <c r="B526" s="5" t="s">
        <v>2090</v>
      </c>
      <c r="C526" s="4" t="s">
        <v>612</v>
      </c>
      <c r="D526" s="4" t="s">
        <v>1610</v>
      </c>
      <c r="N526" s="5">
        <v>39.950000000000003</v>
      </c>
      <c r="Q526" s="5" t="str">
        <f>"2144428000001"</f>
        <v>2144428000001</v>
      </c>
    </row>
    <row r="527" spans="1:17" x14ac:dyDescent="0.3">
      <c r="A527" s="6" t="s">
        <v>2625</v>
      </c>
      <c r="B527" s="5" t="s">
        <v>2090</v>
      </c>
      <c r="C527" s="4" t="s">
        <v>613</v>
      </c>
      <c r="D527" s="4" t="s">
        <v>1611</v>
      </c>
      <c r="N527" s="5">
        <v>1.5</v>
      </c>
      <c r="Q527" s="5" t="str">
        <f>"6271002190219"</f>
        <v>6271002190219</v>
      </c>
    </row>
    <row r="528" spans="1:17" x14ac:dyDescent="0.3">
      <c r="A528" s="6" t="s">
        <v>2626</v>
      </c>
      <c r="B528" s="5" t="s">
        <v>2090</v>
      </c>
      <c r="C528" s="4" t="s">
        <v>614</v>
      </c>
      <c r="D528" s="4" t="s">
        <v>1612</v>
      </c>
      <c r="N528" s="5">
        <v>1.5</v>
      </c>
      <c r="Q528" s="5" t="str">
        <f>"6281007046053"</f>
        <v>6281007046053</v>
      </c>
    </row>
    <row r="529" spans="1:17" x14ac:dyDescent="0.3">
      <c r="A529" s="6" t="s">
        <v>2627</v>
      </c>
      <c r="B529" s="5" t="s">
        <v>2090</v>
      </c>
      <c r="C529" s="4" t="s">
        <v>615</v>
      </c>
      <c r="D529" s="4" t="s">
        <v>1613</v>
      </c>
      <c r="N529" s="5">
        <v>20.5</v>
      </c>
      <c r="Q529" s="5" t="str">
        <f>"6281007063265"</f>
        <v>6281007063265</v>
      </c>
    </row>
    <row r="530" spans="1:17" x14ac:dyDescent="0.3">
      <c r="A530" s="6" t="s">
        <v>2628</v>
      </c>
      <c r="B530" s="5" t="s">
        <v>2090</v>
      </c>
      <c r="C530" s="4" t="s">
        <v>616</v>
      </c>
      <c r="D530" s="4" t="s">
        <v>1614</v>
      </c>
      <c r="N530" s="5">
        <v>2.5</v>
      </c>
      <c r="Q530" s="5" t="str">
        <f>"6281007060356"</f>
        <v>6281007060356</v>
      </c>
    </row>
    <row r="531" spans="1:17" x14ac:dyDescent="0.3">
      <c r="A531" s="6" t="s">
        <v>2629</v>
      </c>
      <c r="B531" s="5" t="s">
        <v>2090</v>
      </c>
      <c r="C531" s="4" t="s">
        <v>617</v>
      </c>
      <c r="D531" s="4" t="s">
        <v>1615</v>
      </c>
      <c r="N531" s="5">
        <v>34</v>
      </c>
      <c r="Q531" s="5" t="str">
        <f>"6281039171358"</f>
        <v>6281039171358</v>
      </c>
    </row>
    <row r="532" spans="1:17" x14ac:dyDescent="0.3">
      <c r="A532" s="6" t="s">
        <v>2630</v>
      </c>
      <c r="B532" s="5" t="s">
        <v>2090</v>
      </c>
      <c r="C532" s="4" t="s">
        <v>618</v>
      </c>
      <c r="D532" s="4" t="s">
        <v>1616</v>
      </c>
      <c r="N532" s="5">
        <v>32</v>
      </c>
      <c r="Q532" s="5" t="str">
        <f>"5711953169908"</f>
        <v>5711953169908</v>
      </c>
    </row>
    <row r="533" spans="1:17" x14ac:dyDescent="0.3">
      <c r="A533" s="6" t="s">
        <v>2631</v>
      </c>
      <c r="B533" s="5" t="s">
        <v>2090</v>
      </c>
      <c r="C533" s="4" t="s">
        <v>619</v>
      </c>
      <c r="D533" s="4" t="s">
        <v>1617</v>
      </c>
      <c r="N533" s="5">
        <v>6.95</v>
      </c>
      <c r="Q533" s="5" t="str">
        <f>"6281018423980"</f>
        <v>6281018423980</v>
      </c>
    </row>
    <row r="534" spans="1:17" x14ac:dyDescent="0.3">
      <c r="A534" s="6" t="s">
        <v>2632</v>
      </c>
      <c r="B534" s="5" t="s">
        <v>2090</v>
      </c>
      <c r="C534" s="4" t="s">
        <v>620</v>
      </c>
      <c r="D534" s="4" t="s">
        <v>1618</v>
      </c>
      <c r="N534" s="5">
        <v>2</v>
      </c>
      <c r="Q534" s="5" t="str">
        <f>"6281039105018"</f>
        <v>6281039105018</v>
      </c>
    </row>
    <row r="535" spans="1:17" x14ac:dyDescent="0.3">
      <c r="A535" s="6" t="s">
        <v>2633</v>
      </c>
      <c r="B535" s="5" t="s">
        <v>2090</v>
      </c>
      <c r="C535" s="4" t="s">
        <v>621</v>
      </c>
      <c r="D535" s="4" t="s">
        <v>1619</v>
      </c>
      <c r="N535" s="5">
        <v>5</v>
      </c>
      <c r="Q535" s="5" t="str">
        <f>"6281057002689"</f>
        <v>6281057002689</v>
      </c>
    </row>
    <row r="536" spans="1:17" x14ac:dyDescent="0.3">
      <c r="A536" s="6" t="s">
        <v>2634</v>
      </c>
      <c r="B536" s="5" t="s">
        <v>2090</v>
      </c>
      <c r="C536" s="4" t="s">
        <v>622</v>
      </c>
      <c r="D536" s="4" t="s">
        <v>1620</v>
      </c>
      <c r="N536" s="5">
        <v>30.75</v>
      </c>
      <c r="Q536" s="5" t="str">
        <f>"8719200267855"</f>
        <v>8719200267855</v>
      </c>
    </row>
    <row r="537" spans="1:17" x14ac:dyDescent="0.3">
      <c r="A537" s="6" t="s">
        <v>2635</v>
      </c>
      <c r="B537" s="5" t="s">
        <v>2090</v>
      </c>
      <c r="C537" s="4" t="s">
        <v>623</v>
      </c>
      <c r="D537" s="4" t="s">
        <v>1621</v>
      </c>
      <c r="N537" s="5">
        <v>23.95</v>
      </c>
      <c r="Q537" s="5" t="str">
        <f>"6281024014974"</f>
        <v>6281024014974</v>
      </c>
    </row>
    <row r="538" spans="1:17" x14ac:dyDescent="0.3">
      <c r="A538" s="6" t="s">
        <v>2636</v>
      </c>
      <c r="B538" s="5" t="s">
        <v>2090</v>
      </c>
      <c r="C538" s="4" t="s">
        <v>624</v>
      </c>
      <c r="D538" s="4" t="s">
        <v>1622</v>
      </c>
      <c r="N538" s="5">
        <v>3.5</v>
      </c>
      <c r="Q538" s="5" t="str">
        <f>"6281007032520"</f>
        <v>6281007032520</v>
      </c>
    </row>
    <row r="539" spans="1:17" x14ac:dyDescent="0.3">
      <c r="A539" s="6" t="s">
        <v>2637</v>
      </c>
      <c r="B539" s="5" t="s">
        <v>2090</v>
      </c>
      <c r="C539" s="4" t="s">
        <v>625</v>
      </c>
      <c r="D539" s="4" t="s">
        <v>1623</v>
      </c>
      <c r="N539" s="5">
        <v>13</v>
      </c>
      <c r="Q539" s="5" t="str">
        <f>"6281024110690"</f>
        <v>6281024110690</v>
      </c>
    </row>
    <row r="540" spans="1:17" x14ac:dyDescent="0.3">
      <c r="A540" s="6" t="s">
        <v>2638</v>
      </c>
      <c r="B540" s="5" t="s">
        <v>2090</v>
      </c>
      <c r="C540" s="4" t="s">
        <v>626</v>
      </c>
      <c r="D540" s="4" t="s">
        <v>1624</v>
      </c>
      <c r="N540" s="5">
        <v>13.95</v>
      </c>
      <c r="Q540" s="5" t="str">
        <f>"6281051005754"</f>
        <v>6281051005754</v>
      </c>
    </row>
    <row r="541" spans="1:17" x14ac:dyDescent="0.3">
      <c r="A541" s="6" t="s">
        <v>2639</v>
      </c>
      <c r="B541" s="5" t="s">
        <v>2090</v>
      </c>
      <c r="C541" s="4" t="s">
        <v>627</v>
      </c>
      <c r="D541" s="4" t="s">
        <v>1625</v>
      </c>
      <c r="N541" s="5">
        <v>31</v>
      </c>
      <c r="Q541" s="5" t="str">
        <f>"6281039173253"</f>
        <v>6281039173253</v>
      </c>
    </row>
    <row r="542" spans="1:17" x14ac:dyDescent="0.3">
      <c r="A542" s="6" t="s">
        <v>2640</v>
      </c>
      <c r="B542" s="5" t="s">
        <v>2090</v>
      </c>
      <c r="C542" s="4" t="s">
        <v>628</v>
      </c>
      <c r="D542" s="4" t="s">
        <v>1626</v>
      </c>
      <c r="N542" s="5">
        <v>9.5</v>
      </c>
      <c r="Q542" s="5" t="str">
        <f>"6281018110712"</f>
        <v>6281018110712</v>
      </c>
    </row>
    <row r="543" spans="1:17" x14ac:dyDescent="0.3">
      <c r="A543" s="6" t="s">
        <v>2641</v>
      </c>
      <c r="B543" s="5" t="s">
        <v>2090</v>
      </c>
      <c r="C543" s="4" t="s">
        <v>629</v>
      </c>
      <c r="D543" s="4" t="s">
        <v>1627</v>
      </c>
      <c r="N543" s="5">
        <v>4.95</v>
      </c>
      <c r="Q543" s="5" t="str">
        <f>"6281022110616"</f>
        <v>6281022110616</v>
      </c>
    </row>
    <row r="544" spans="1:17" x14ac:dyDescent="0.3">
      <c r="A544" s="6" t="s">
        <v>2642</v>
      </c>
      <c r="B544" s="5" t="s">
        <v>2090</v>
      </c>
      <c r="C544" s="4" t="s">
        <v>630</v>
      </c>
      <c r="D544" s="4" t="s">
        <v>1628</v>
      </c>
      <c r="N544" s="5">
        <v>32.950000000000003</v>
      </c>
      <c r="Q544" s="5" t="str">
        <f>"2140317000008"</f>
        <v>2140317000008</v>
      </c>
    </row>
    <row r="545" spans="1:17" x14ac:dyDescent="0.3">
      <c r="A545" s="6" t="s">
        <v>2643</v>
      </c>
      <c r="B545" s="5" t="s">
        <v>2090</v>
      </c>
      <c r="C545" s="4" t="s">
        <v>631</v>
      </c>
      <c r="D545" s="4" t="s">
        <v>1629</v>
      </c>
      <c r="N545" s="5">
        <v>28</v>
      </c>
      <c r="Q545" s="5" t="str">
        <f>"8022284002008"</f>
        <v>8022284002008</v>
      </c>
    </row>
    <row r="546" spans="1:17" x14ac:dyDescent="0.3">
      <c r="A546" s="6" t="s">
        <v>2644</v>
      </c>
      <c r="B546" s="5" t="s">
        <v>2090</v>
      </c>
      <c r="C546" s="4" t="s">
        <v>632</v>
      </c>
      <c r="D546" s="4" t="s">
        <v>1630</v>
      </c>
      <c r="N546" s="5">
        <v>46.95</v>
      </c>
      <c r="Q546" s="5" t="str">
        <f>"2143857000002"</f>
        <v>2143857000002</v>
      </c>
    </row>
    <row r="547" spans="1:17" x14ac:dyDescent="0.3">
      <c r="A547" s="6" t="s">
        <v>2645</v>
      </c>
      <c r="B547" s="5" t="s">
        <v>2090</v>
      </c>
      <c r="C547" s="4" t="s">
        <v>633</v>
      </c>
      <c r="D547" s="4" t="s">
        <v>1631</v>
      </c>
      <c r="N547" s="5">
        <v>23.25</v>
      </c>
      <c r="Q547" s="5" t="str">
        <f>"3228022930205"</f>
        <v>3228022930205</v>
      </c>
    </row>
    <row r="548" spans="1:17" x14ac:dyDescent="0.3">
      <c r="A548" s="6" t="s">
        <v>2646</v>
      </c>
      <c r="B548" s="5" t="s">
        <v>2090</v>
      </c>
      <c r="C548" s="4" t="s">
        <v>634</v>
      </c>
      <c r="D548" s="4" t="s">
        <v>1632</v>
      </c>
      <c r="N548" s="5">
        <v>41.95</v>
      </c>
      <c r="Q548" s="5" t="str">
        <f>"6281024012512"</f>
        <v>6281024012512</v>
      </c>
    </row>
    <row r="549" spans="1:17" x14ac:dyDescent="0.3">
      <c r="A549" s="6" t="s">
        <v>2647</v>
      </c>
      <c r="B549" s="5" t="s">
        <v>2090</v>
      </c>
      <c r="C549" s="4" t="s">
        <v>635</v>
      </c>
      <c r="D549" s="4" t="s">
        <v>1633</v>
      </c>
      <c r="N549" s="5">
        <v>5.95</v>
      </c>
      <c r="Q549" s="5" t="str">
        <f>"6281018127048"</f>
        <v>6281018127048</v>
      </c>
    </row>
    <row r="550" spans="1:17" x14ac:dyDescent="0.3">
      <c r="A550" s="6" t="s">
        <v>2648</v>
      </c>
      <c r="B550" s="5" t="s">
        <v>2090</v>
      </c>
      <c r="C550" s="4" t="s">
        <v>636</v>
      </c>
      <c r="D550" s="4" t="s">
        <v>1634</v>
      </c>
      <c r="N550" s="5">
        <v>29.95</v>
      </c>
      <c r="Q550" s="5" t="str">
        <f>"2142510000007"</f>
        <v>2142510000007</v>
      </c>
    </row>
    <row r="551" spans="1:17" x14ac:dyDescent="0.3">
      <c r="A551" s="6" t="s">
        <v>2649</v>
      </c>
      <c r="B551" s="5" t="s">
        <v>2090</v>
      </c>
      <c r="C551" s="4" t="s">
        <v>637</v>
      </c>
      <c r="D551" s="4" t="s">
        <v>1635</v>
      </c>
      <c r="N551" s="5">
        <v>18.95</v>
      </c>
      <c r="Q551" s="5" t="str">
        <f>"3228022970171"</f>
        <v>3228022970171</v>
      </c>
    </row>
    <row r="552" spans="1:17" x14ac:dyDescent="0.3">
      <c r="A552" s="6" t="s">
        <v>2650</v>
      </c>
      <c r="B552" s="5" t="s">
        <v>2090</v>
      </c>
      <c r="C552" s="4" t="s">
        <v>638</v>
      </c>
      <c r="D552" s="4" t="s">
        <v>1636</v>
      </c>
      <c r="N552" s="5">
        <v>1.55</v>
      </c>
      <c r="Q552" s="5" t="str">
        <f>"6281022151244"</f>
        <v>6281022151244</v>
      </c>
    </row>
    <row r="553" spans="1:17" x14ac:dyDescent="0.3">
      <c r="A553" s="6" t="s">
        <v>2651</v>
      </c>
      <c r="B553" s="5" t="s">
        <v>2090</v>
      </c>
      <c r="C553" s="4" t="s">
        <v>639</v>
      </c>
      <c r="D553" s="4" t="s">
        <v>1637</v>
      </c>
      <c r="N553" s="5">
        <v>7.5</v>
      </c>
      <c r="Q553" s="5" t="str">
        <f>"6281018181965"</f>
        <v>6281018181965</v>
      </c>
    </row>
    <row r="554" spans="1:17" x14ac:dyDescent="0.3">
      <c r="A554" s="6" t="s">
        <v>2652</v>
      </c>
      <c r="B554" s="5" t="s">
        <v>2090</v>
      </c>
      <c r="C554" s="4" t="s">
        <v>640</v>
      </c>
      <c r="D554" s="4" t="s">
        <v>1638</v>
      </c>
      <c r="N554" s="5">
        <v>66.5</v>
      </c>
      <c r="Q554" s="5" t="str">
        <f>"6295199281697"</f>
        <v>6295199281697</v>
      </c>
    </row>
    <row r="555" spans="1:17" x14ac:dyDescent="0.3">
      <c r="A555" s="6" t="s">
        <v>2653</v>
      </c>
      <c r="B555" s="5" t="s">
        <v>2090</v>
      </c>
      <c r="C555" s="4" t="s">
        <v>641</v>
      </c>
      <c r="D555" s="4" t="s">
        <v>1639</v>
      </c>
      <c r="N555" s="5">
        <v>6.5</v>
      </c>
      <c r="Q555" s="5" t="str">
        <f>"5760466754309"</f>
        <v>5760466754309</v>
      </c>
    </row>
    <row r="556" spans="1:17" x14ac:dyDescent="0.3">
      <c r="A556" s="6" t="s">
        <v>2654</v>
      </c>
      <c r="B556" s="5" t="s">
        <v>2090</v>
      </c>
      <c r="C556" s="4" t="s">
        <v>642</v>
      </c>
      <c r="D556" s="4" t="s">
        <v>1640</v>
      </c>
      <c r="N556" s="5">
        <v>31.25</v>
      </c>
      <c r="Q556" s="5" t="str">
        <f>"6281073160066"</f>
        <v>6281073160066</v>
      </c>
    </row>
    <row r="557" spans="1:17" x14ac:dyDescent="0.3">
      <c r="A557" s="6" t="s">
        <v>2655</v>
      </c>
      <c r="B557" s="5" t="s">
        <v>2090</v>
      </c>
      <c r="C557" s="4" t="s">
        <v>643</v>
      </c>
      <c r="D557" s="4" t="s">
        <v>1641</v>
      </c>
      <c r="N557" s="5">
        <v>15.75</v>
      </c>
      <c r="Q557" s="5" t="str">
        <f>"6281048113905"</f>
        <v>6281048113905</v>
      </c>
    </row>
    <row r="558" spans="1:17" x14ac:dyDescent="0.3">
      <c r="A558" s="6" t="s">
        <v>2656</v>
      </c>
      <c r="B558" s="5" t="s">
        <v>2090</v>
      </c>
      <c r="C558" s="4" t="s">
        <v>644</v>
      </c>
      <c r="D558" s="4" t="s">
        <v>1642</v>
      </c>
      <c r="N558" s="5">
        <v>51.5</v>
      </c>
      <c r="Q558" s="5" t="str">
        <f>"6281024010624"</f>
        <v>6281024010624</v>
      </c>
    </row>
    <row r="559" spans="1:17" x14ac:dyDescent="0.3">
      <c r="A559" s="6" t="s">
        <v>2657</v>
      </c>
      <c r="B559" s="5" t="s">
        <v>2090</v>
      </c>
      <c r="C559" s="4" t="s">
        <v>645</v>
      </c>
      <c r="D559" s="4" t="s">
        <v>1643</v>
      </c>
      <c r="N559" s="5">
        <v>9.9499999999999993</v>
      </c>
      <c r="Q559" s="5" t="str">
        <f>"3228022970157"</f>
        <v>3228022970157</v>
      </c>
    </row>
    <row r="560" spans="1:17" x14ac:dyDescent="0.3">
      <c r="A560" s="6" t="s">
        <v>2658</v>
      </c>
      <c r="B560" s="5" t="s">
        <v>2090</v>
      </c>
      <c r="C560" s="4" t="s">
        <v>646</v>
      </c>
      <c r="D560" s="4" t="s">
        <v>1644</v>
      </c>
      <c r="N560" s="5">
        <v>21.25</v>
      </c>
      <c r="Q560" s="5" t="str">
        <f>"6281057007394"</f>
        <v>6281057007394</v>
      </c>
    </row>
    <row r="561" spans="1:17" x14ac:dyDescent="0.3">
      <c r="A561" s="6" t="s">
        <v>2659</v>
      </c>
      <c r="B561" s="5" t="s">
        <v>2090</v>
      </c>
      <c r="C561" s="4" t="s">
        <v>647</v>
      </c>
      <c r="D561" s="4" t="s">
        <v>1645</v>
      </c>
      <c r="N561" s="5">
        <v>21.25</v>
      </c>
      <c r="Q561" s="5" t="str">
        <f>"6281057001880"</f>
        <v>6281057001880</v>
      </c>
    </row>
    <row r="562" spans="1:17" x14ac:dyDescent="0.3">
      <c r="A562" s="6" t="s">
        <v>2660</v>
      </c>
      <c r="B562" s="5" t="s">
        <v>2090</v>
      </c>
      <c r="C562" s="4" t="s">
        <v>648</v>
      </c>
      <c r="D562" s="4" t="s">
        <v>1646</v>
      </c>
      <c r="N562" s="5">
        <v>10.5</v>
      </c>
      <c r="Q562" s="5" t="str">
        <f>"6281057002115"</f>
        <v>6281057002115</v>
      </c>
    </row>
    <row r="563" spans="1:17" x14ac:dyDescent="0.3">
      <c r="A563" s="6" t="s">
        <v>2661</v>
      </c>
      <c r="B563" s="5" t="s">
        <v>2090</v>
      </c>
      <c r="C563" s="4" t="s">
        <v>649</v>
      </c>
      <c r="D563" s="4" t="s">
        <v>1647</v>
      </c>
      <c r="N563" s="5">
        <v>28</v>
      </c>
      <c r="Q563" s="5" t="str">
        <f>"6281022153415"</f>
        <v>6281022153415</v>
      </c>
    </row>
    <row r="564" spans="1:17" x14ac:dyDescent="0.3">
      <c r="A564" s="6" t="s">
        <v>2662</v>
      </c>
      <c r="B564" s="5" t="s">
        <v>2090</v>
      </c>
      <c r="C564" s="4" t="s">
        <v>650</v>
      </c>
      <c r="D564" s="4" t="s">
        <v>1648</v>
      </c>
      <c r="N564" s="5">
        <v>37.75</v>
      </c>
      <c r="Q564" s="5" t="str">
        <f>"6281039172737"</f>
        <v>6281039172737</v>
      </c>
    </row>
    <row r="565" spans="1:17" x14ac:dyDescent="0.3">
      <c r="A565" s="6" t="s">
        <v>2663</v>
      </c>
      <c r="B565" s="5" t="s">
        <v>2090</v>
      </c>
      <c r="C565" s="4" t="s">
        <v>651</v>
      </c>
      <c r="D565" s="4" t="s">
        <v>1649</v>
      </c>
      <c r="N565" s="5">
        <v>4</v>
      </c>
      <c r="Q565" s="5" t="str">
        <f>"6281022117370"</f>
        <v>6281022117370</v>
      </c>
    </row>
    <row r="566" spans="1:17" x14ac:dyDescent="0.3">
      <c r="A566" s="6" t="s">
        <v>2664</v>
      </c>
      <c r="B566" s="5" t="s">
        <v>2090</v>
      </c>
      <c r="C566" s="4" t="s">
        <v>652</v>
      </c>
      <c r="D566" s="4" t="s">
        <v>1650</v>
      </c>
      <c r="N566" s="5">
        <v>3.5</v>
      </c>
      <c r="Q566" s="5" t="str">
        <f>"6281039102017"</f>
        <v>6281039102017</v>
      </c>
    </row>
    <row r="567" spans="1:17" x14ac:dyDescent="0.3">
      <c r="A567" s="6" t="s">
        <v>2665</v>
      </c>
      <c r="B567" s="5" t="s">
        <v>2090</v>
      </c>
      <c r="C567" s="4" t="s">
        <v>653</v>
      </c>
      <c r="D567" s="4" t="s">
        <v>1651</v>
      </c>
      <c r="N567" s="5">
        <v>2</v>
      </c>
      <c r="Q567" s="5" t="str">
        <f>"6281022102918"</f>
        <v>6281022102918</v>
      </c>
    </row>
    <row r="568" spans="1:17" x14ac:dyDescent="0.3">
      <c r="A568" s="6" t="s">
        <v>2666</v>
      </c>
      <c r="B568" s="5" t="s">
        <v>2090</v>
      </c>
      <c r="C568" s="4" t="s">
        <v>654</v>
      </c>
      <c r="D568" s="4" t="s">
        <v>1652</v>
      </c>
      <c r="N568" s="5">
        <v>11.95</v>
      </c>
      <c r="Q568" s="5" t="str">
        <f>"6281048106990"</f>
        <v>6281048106990</v>
      </c>
    </row>
    <row r="569" spans="1:17" x14ac:dyDescent="0.3">
      <c r="A569" s="6" t="s">
        <v>2667</v>
      </c>
      <c r="B569" s="5" t="s">
        <v>2090</v>
      </c>
      <c r="C569" s="4" t="s">
        <v>655</v>
      </c>
      <c r="D569" s="4" t="s">
        <v>1653</v>
      </c>
      <c r="N569" s="5">
        <v>7.95</v>
      </c>
      <c r="Q569" s="5" t="str">
        <f>"5711953148842"</f>
        <v>5711953148842</v>
      </c>
    </row>
    <row r="570" spans="1:17" x14ac:dyDescent="0.3">
      <c r="A570" s="6" t="s">
        <v>2668</v>
      </c>
      <c r="B570" s="5" t="s">
        <v>2090</v>
      </c>
      <c r="C570" s="4" t="s">
        <v>656</v>
      </c>
      <c r="D570" s="4" t="s">
        <v>1654</v>
      </c>
      <c r="N570" s="5">
        <v>9.75</v>
      </c>
      <c r="Q570" s="5" t="str">
        <f>"6281039711011"</f>
        <v>6281039711011</v>
      </c>
    </row>
    <row r="571" spans="1:17" x14ac:dyDescent="0.3">
      <c r="A571" s="6" t="s">
        <v>2669</v>
      </c>
      <c r="B571" s="5" t="s">
        <v>2090</v>
      </c>
      <c r="C571" s="4" t="s">
        <v>657</v>
      </c>
      <c r="D571" s="4" t="s">
        <v>1655</v>
      </c>
      <c r="N571" s="5">
        <v>15.5</v>
      </c>
      <c r="Q571" s="5" t="str">
        <f>"8719200269088"</f>
        <v>8719200269088</v>
      </c>
    </row>
    <row r="572" spans="1:17" x14ac:dyDescent="0.3">
      <c r="A572" s="6" t="s">
        <v>2670</v>
      </c>
      <c r="B572" s="5" t="s">
        <v>2090</v>
      </c>
      <c r="C572" s="4" t="s">
        <v>658</v>
      </c>
      <c r="D572" s="4" t="s">
        <v>1656</v>
      </c>
      <c r="N572" s="5">
        <v>12.95</v>
      </c>
      <c r="Q572" s="5" t="str">
        <f>"6084012090475"</f>
        <v>6084012090475</v>
      </c>
    </row>
    <row r="573" spans="1:17" x14ac:dyDescent="0.3">
      <c r="A573" s="6" t="s">
        <v>2671</v>
      </c>
      <c r="B573" s="5" t="s">
        <v>2090</v>
      </c>
      <c r="C573" s="4" t="s">
        <v>659</v>
      </c>
      <c r="D573" s="4" t="s">
        <v>1657</v>
      </c>
      <c r="N573" s="5">
        <v>65</v>
      </c>
      <c r="Q573" s="5" t="str">
        <f>"6281039102024"</f>
        <v>6281039102024</v>
      </c>
    </row>
    <row r="574" spans="1:17" x14ac:dyDescent="0.3">
      <c r="A574" s="6" t="s">
        <v>2672</v>
      </c>
      <c r="B574" s="5" t="s">
        <v>2090</v>
      </c>
      <c r="C574" s="4" t="s">
        <v>660</v>
      </c>
      <c r="D574" s="4" t="s">
        <v>1658</v>
      </c>
      <c r="N574" s="5">
        <v>36.950000000000003</v>
      </c>
      <c r="Q574" s="5" t="str">
        <f>"2140561000007"</f>
        <v>2140561000007</v>
      </c>
    </row>
    <row r="575" spans="1:17" x14ac:dyDescent="0.3">
      <c r="A575" s="6" t="s">
        <v>2673</v>
      </c>
      <c r="B575" s="5" t="s">
        <v>2090</v>
      </c>
      <c r="C575" s="4" t="s">
        <v>661</v>
      </c>
      <c r="D575" s="4" t="s">
        <v>1659</v>
      </c>
      <c r="N575" s="5">
        <v>28</v>
      </c>
      <c r="Q575" s="5" t="str">
        <f>"5411188115434"</f>
        <v>5411188115434</v>
      </c>
    </row>
    <row r="576" spans="1:17" x14ac:dyDescent="0.3">
      <c r="A576" s="6" t="s">
        <v>2674</v>
      </c>
      <c r="B576" s="5" t="s">
        <v>2090</v>
      </c>
      <c r="C576" s="4" t="s">
        <v>662</v>
      </c>
      <c r="D576" s="4" t="s">
        <v>1660</v>
      </c>
      <c r="N576" s="5">
        <v>17</v>
      </c>
      <c r="Q576" s="5" t="str">
        <f>"6281020171534"</f>
        <v>6281020171534</v>
      </c>
    </row>
    <row r="577" spans="1:17" x14ac:dyDescent="0.3">
      <c r="A577" s="6" t="s">
        <v>2675</v>
      </c>
      <c r="B577" s="5" t="s">
        <v>2090</v>
      </c>
      <c r="C577" s="4" t="s">
        <v>663</v>
      </c>
      <c r="D577" s="4" t="s">
        <v>1661</v>
      </c>
      <c r="N577" s="5">
        <v>50</v>
      </c>
      <c r="Q577" s="5" t="str">
        <f>"6281022167375"</f>
        <v>6281022167375</v>
      </c>
    </row>
    <row r="578" spans="1:17" x14ac:dyDescent="0.3">
      <c r="A578" s="6" t="s">
        <v>2676</v>
      </c>
      <c r="B578" s="5" t="s">
        <v>2090</v>
      </c>
      <c r="C578" s="4" t="s">
        <v>664</v>
      </c>
      <c r="D578" s="4" t="s">
        <v>1662</v>
      </c>
      <c r="N578" s="5">
        <v>19.5</v>
      </c>
      <c r="Q578" s="5" t="str">
        <f>"6281024010617"</f>
        <v>6281024010617</v>
      </c>
    </row>
    <row r="579" spans="1:17" x14ac:dyDescent="0.3">
      <c r="A579" s="6" t="s">
        <v>2677</v>
      </c>
      <c r="B579" s="5" t="s">
        <v>2090</v>
      </c>
      <c r="C579" s="4" t="s">
        <v>665</v>
      </c>
      <c r="D579" s="4" t="s">
        <v>1663</v>
      </c>
      <c r="N579" s="5">
        <v>36.5</v>
      </c>
      <c r="Q579" s="5" t="str">
        <f>"6281007036160"</f>
        <v>6281007036160</v>
      </c>
    </row>
    <row r="580" spans="1:17" x14ac:dyDescent="0.3">
      <c r="A580" s="6" t="s">
        <v>2678</v>
      </c>
      <c r="B580" s="5" t="s">
        <v>2090</v>
      </c>
      <c r="C580" s="4" t="s">
        <v>666</v>
      </c>
      <c r="D580" s="4" t="s">
        <v>1664</v>
      </c>
      <c r="N580" s="5">
        <v>74.95</v>
      </c>
      <c r="Q580" s="5" t="str">
        <f>"2145621000003"</f>
        <v>2145621000003</v>
      </c>
    </row>
    <row r="581" spans="1:17" x14ac:dyDescent="0.3">
      <c r="A581" s="6" t="s">
        <v>2679</v>
      </c>
      <c r="B581" s="5" t="s">
        <v>2090</v>
      </c>
      <c r="C581" s="4" t="s">
        <v>667</v>
      </c>
      <c r="D581" s="4" t="s">
        <v>1665</v>
      </c>
      <c r="N581" s="5">
        <v>3</v>
      </c>
      <c r="Q581" s="5" t="str">
        <f>"6281057030019"</f>
        <v>6281057030019</v>
      </c>
    </row>
    <row r="582" spans="1:17" x14ac:dyDescent="0.3">
      <c r="A582" s="6" t="s">
        <v>2680</v>
      </c>
      <c r="B582" s="5" t="s">
        <v>2090</v>
      </c>
      <c r="C582" s="4" t="s">
        <v>668</v>
      </c>
      <c r="D582" s="4" t="s">
        <v>1666</v>
      </c>
      <c r="N582" s="5">
        <v>2.5</v>
      </c>
      <c r="Q582" s="5" t="str">
        <f>"6281057004133"</f>
        <v>6281057004133</v>
      </c>
    </row>
    <row r="583" spans="1:17" x14ac:dyDescent="0.3">
      <c r="A583" s="6" t="s">
        <v>2681</v>
      </c>
      <c r="B583" s="5" t="s">
        <v>2090</v>
      </c>
      <c r="C583" s="4" t="s">
        <v>669</v>
      </c>
      <c r="D583" s="4" t="s">
        <v>1667</v>
      </c>
      <c r="N583" s="5">
        <v>16.75</v>
      </c>
      <c r="Q583" s="5" t="str">
        <f>"6285835000690"</f>
        <v>6285835000690</v>
      </c>
    </row>
    <row r="584" spans="1:17" x14ac:dyDescent="0.3">
      <c r="A584" s="6" t="s">
        <v>2682</v>
      </c>
      <c r="B584" s="5" t="s">
        <v>2090</v>
      </c>
      <c r="C584" s="4" t="s">
        <v>670</v>
      </c>
      <c r="D584" s="4" t="s">
        <v>1668</v>
      </c>
      <c r="N584" s="5">
        <v>3.95</v>
      </c>
      <c r="Q584" s="5" t="str">
        <f>"6281022118070"</f>
        <v>6281022118070</v>
      </c>
    </row>
    <row r="585" spans="1:17" x14ac:dyDescent="0.3">
      <c r="A585" s="6" t="s">
        <v>2683</v>
      </c>
      <c r="B585" s="5" t="s">
        <v>2090</v>
      </c>
      <c r="C585" s="4" t="s">
        <v>671</v>
      </c>
      <c r="D585" s="4" t="s">
        <v>1669</v>
      </c>
      <c r="N585" s="5">
        <v>7.5</v>
      </c>
      <c r="Q585" s="5" t="str">
        <f>"6281057005062"</f>
        <v>6281057005062</v>
      </c>
    </row>
    <row r="586" spans="1:17" x14ac:dyDescent="0.3">
      <c r="A586" s="6" t="s">
        <v>2684</v>
      </c>
      <c r="B586" s="5" t="s">
        <v>2090</v>
      </c>
      <c r="C586" s="4" t="s">
        <v>672</v>
      </c>
      <c r="D586" s="4" t="s">
        <v>1670</v>
      </c>
      <c r="N586" s="5">
        <v>26.45</v>
      </c>
      <c r="Q586" s="5" t="str">
        <f>"2140484000009"</f>
        <v>2140484000009</v>
      </c>
    </row>
    <row r="587" spans="1:17" x14ac:dyDescent="0.3">
      <c r="A587" s="6" t="s">
        <v>2685</v>
      </c>
      <c r="B587" s="5" t="s">
        <v>2090</v>
      </c>
      <c r="C587" s="4" t="s">
        <v>673</v>
      </c>
      <c r="D587" s="4" t="s">
        <v>1671</v>
      </c>
      <c r="N587" s="5">
        <v>15.5</v>
      </c>
      <c r="Q587" s="5" t="str">
        <f>"6287004520398"</f>
        <v>6287004520398</v>
      </c>
    </row>
    <row r="588" spans="1:17" x14ac:dyDescent="0.3">
      <c r="A588" s="6" t="s">
        <v>2686</v>
      </c>
      <c r="B588" s="5" t="s">
        <v>2090</v>
      </c>
      <c r="C588" s="4" t="s">
        <v>674</v>
      </c>
      <c r="D588" s="4" t="s">
        <v>1672</v>
      </c>
      <c r="N588" s="5">
        <v>27.75</v>
      </c>
      <c r="Q588" s="5" t="str">
        <f>"6281021333207"</f>
        <v>6281021333207</v>
      </c>
    </row>
    <row r="589" spans="1:17" x14ac:dyDescent="0.3">
      <c r="A589" s="6" t="s">
        <v>2687</v>
      </c>
      <c r="B589" s="5" t="s">
        <v>2090</v>
      </c>
      <c r="C589" s="4" t="s">
        <v>675</v>
      </c>
      <c r="D589" s="4" t="s">
        <v>1673</v>
      </c>
      <c r="N589" s="5">
        <v>5.95</v>
      </c>
      <c r="Q589" s="5" t="str">
        <f>"6281018220848"</f>
        <v>6281018220848</v>
      </c>
    </row>
    <row r="590" spans="1:17" x14ac:dyDescent="0.3">
      <c r="A590" s="6" t="s">
        <v>2688</v>
      </c>
      <c r="B590" s="5" t="s">
        <v>2090</v>
      </c>
      <c r="C590" s="4" t="s">
        <v>676</v>
      </c>
      <c r="D590" s="4" t="s">
        <v>1674</v>
      </c>
      <c r="N590" s="5">
        <v>5.95</v>
      </c>
      <c r="Q590" s="5" t="str">
        <f>"6281022134018"</f>
        <v>6281022134018</v>
      </c>
    </row>
    <row r="591" spans="1:17" x14ac:dyDescent="0.3">
      <c r="A591" s="6" t="s">
        <v>2689</v>
      </c>
      <c r="B591" s="5" t="s">
        <v>2090</v>
      </c>
      <c r="C591" s="4" t="s">
        <v>677</v>
      </c>
      <c r="D591" s="4" t="s">
        <v>1675</v>
      </c>
      <c r="N591" s="5">
        <v>34</v>
      </c>
      <c r="Q591" s="5" t="str">
        <f>"6297000670065"</f>
        <v>6297000670065</v>
      </c>
    </row>
    <row r="592" spans="1:17" x14ac:dyDescent="0.3">
      <c r="A592" s="6" t="s">
        <v>2690</v>
      </c>
      <c r="B592" s="5" t="s">
        <v>2090</v>
      </c>
      <c r="C592" s="4" t="s">
        <v>678</v>
      </c>
      <c r="D592" s="4" t="s">
        <v>1676</v>
      </c>
      <c r="N592" s="5">
        <v>44.25</v>
      </c>
      <c r="Q592" s="5" t="str">
        <f>"6281048098264"</f>
        <v>6281048098264</v>
      </c>
    </row>
    <row r="593" spans="1:17" x14ac:dyDescent="0.3">
      <c r="A593" s="6" t="s">
        <v>2691</v>
      </c>
      <c r="B593" s="5" t="s">
        <v>2090</v>
      </c>
      <c r="C593" s="4" t="s">
        <v>679</v>
      </c>
      <c r="D593" s="4" t="s">
        <v>1677</v>
      </c>
      <c r="N593" s="5">
        <v>30.5</v>
      </c>
      <c r="Q593" s="5" t="str">
        <f>"6281007042772"</f>
        <v>6281007042772</v>
      </c>
    </row>
    <row r="594" spans="1:17" x14ac:dyDescent="0.3">
      <c r="A594" s="6" t="s">
        <v>2692</v>
      </c>
      <c r="B594" s="5" t="s">
        <v>2090</v>
      </c>
      <c r="C594" s="4" t="s">
        <v>680</v>
      </c>
      <c r="D594" s="4" t="s">
        <v>1678</v>
      </c>
      <c r="N594" s="5">
        <v>23.75</v>
      </c>
      <c r="Q594" s="5" t="str">
        <f>"6281073160981"</f>
        <v>6281073160981</v>
      </c>
    </row>
    <row r="595" spans="1:17" x14ac:dyDescent="0.3">
      <c r="A595" s="6" t="s">
        <v>2693</v>
      </c>
      <c r="B595" s="5" t="s">
        <v>2090</v>
      </c>
      <c r="C595" s="4" t="s">
        <v>681</v>
      </c>
      <c r="D595" s="4" t="s">
        <v>1679</v>
      </c>
      <c r="N595" s="5">
        <v>2</v>
      </c>
      <c r="Q595" s="5" t="str">
        <f>"6281022102925"</f>
        <v>6281022102925</v>
      </c>
    </row>
    <row r="596" spans="1:17" x14ac:dyDescent="0.3">
      <c r="A596" s="6" t="s">
        <v>2694</v>
      </c>
      <c r="B596" s="5" t="s">
        <v>2090</v>
      </c>
      <c r="C596" s="4" t="s">
        <v>682</v>
      </c>
      <c r="D596" s="4" t="s">
        <v>1680</v>
      </c>
      <c r="N596" s="5">
        <v>24.45</v>
      </c>
      <c r="Q596" s="5" t="str">
        <f>"2140545000009"</f>
        <v>2140545000009</v>
      </c>
    </row>
    <row r="597" spans="1:17" x14ac:dyDescent="0.3">
      <c r="A597" s="6" t="s">
        <v>2695</v>
      </c>
      <c r="B597" s="5" t="s">
        <v>2090</v>
      </c>
      <c r="C597" s="4" t="s">
        <v>683</v>
      </c>
      <c r="D597" s="4" t="s">
        <v>1681</v>
      </c>
      <c r="N597" s="5">
        <v>38.25</v>
      </c>
      <c r="Q597" s="5" t="str">
        <f>"6287007762641"</f>
        <v>6287007762641</v>
      </c>
    </row>
    <row r="598" spans="1:17" x14ac:dyDescent="0.3">
      <c r="A598" s="6" t="s">
        <v>2696</v>
      </c>
      <c r="B598" s="5" t="s">
        <v>2090</v>
      </c>
      <c r="C598" s="4" t="s">
        <v>684</v>
      </c>
      <c r="D598" s="4" t="s">
        <v>1682</v>
      </c>
      <c r="N598" s="5">
        <v>3</v>
      </c>
      <c r="Q598" s="5" t="str">
        <f>"6281057002665"</f>
        <v>6281057002665</v>
      </c>
    </row>
    <row r="599" spans="1:17" x14ac:dyDescent="0.3">
      <c r="A599" s="6" t="s">
        <v>2697</v>
      </c>
      <c r="B599" s="5" t="s">
        <v>2090</v>
      </c>
      <c r="C599" s="4" t="s">
        <v>685</v>
      </c>
      <c r="D599" s="4" t="s">
        <v>1683</v>
      </c>
      <c r="N599" s="5">
        <v>25.25</v>
      </c>
      <c r="Q599" s="5" t="str">
        <f>"6287004293582"</f>
        <v>6287004293582</v>
      </c>
    </row>
    <row r="600" spans="1:17" x14ac:dyDescent="0.3">
      <c r="A600" s="6" t="s">
        <v>2698</v>
      </c>
      <c r="B600" s="5" t="s">
        <v>2090</v>
      </c>
      <c r="C600" s="4" t="s">
        <v>686</v>
      </c>
      <c r="D600" s="4" t="s">
        <v>1684</v>
      </c>
      <c r="N600" s="5">
        <v>21.95</v>
      </c>
      <c r="Q600" s="5" t="str">
        <f>"2142815000009"</f>
        <v>2142815000009</v>
      </c>
    </row>
    <row r="601" spans="1:17" x14ac:dyDescent="0.3">
      <c r="A601" s="6" t="s">
        <v>2699</v>
      </c>
      <c r="B601" s="5" t="s">
        <v>2090</v>
      </c>
      <c r="C601" s="4" t="s">
        <v>687</v>
      </c>
      <c r="D601" s="4" t="s">
        <v>1685</v>
      </c>
      <c r="N601" s="5">
        <v>20</v>
      </c>
      <c r="Q601" s="5" t="str">
        <f>"8692041001034"</f>
        <v>8692041001034</v>
      </c>
    </row>
    <row r="602" spans="1:17" x14ac:dyDescent="0.3">
      <c r="A602" s="6" t="s">
        <v>2700</v>
      </c>
      <c r="B602" s="5" t="s">
        <v>2090</v>
      </c>
      <c r="C602" s="4" t="s">
        <v>688</v>
      </c>
      <c r="D602" s="4" t="s">
        <v>1686</v>
      </c>
      <c r="N602" s="5">
        <v>9.25</v>
      </c>
      <c r="Q602" s="5" t="str">
        <f>"6281039160918"</f>
        <v>6281039160918</v>
      </c>
    </row>
    <row r="603" spans="1:17" x14ac:dyDescent="0.3">
      <c r="A603" s="6" t="s">
        <v>2701</v>
      </c>
      <c r="B603" s="5" t="s">
        <v>2090</v>
      </c>
      <c r="C603" s="4" t="s">
        <v>689</v>
      </c>
      <c r="D603" s="4" t="s">
        <v>1687</v>
      </c>
      <c r="N603" s="5">
        <v>26.45</v>
      </c>
      <c r="Q603" s="5" t="str">
        <f>"2149474000005"</f>
        <v>2149474000005</v>
      </c>
    </row>
    <row r="604" spans="1:17" x14ac:dyDescent="0.3">
      <c r="A604" s="6" t="s">
        <v>2702</v>
      </c>
      <c r="B604" s="5" t="s">
        <v>2090</v>
      </c>
      <c r="C604" s="4" t="s">
        <v>690</v>
      </c>
      <c r="D604" s="4" t="s">
        <v>1688</v>
      </c>
      <c r="N604" s="5">
        <v>76.25</v>
      </c>
      <c r="Q604" s="5" t="str">
        <f>"6281022140415"</f>
        <v>6281022140415</v>
      </c>
    </row>
    <row r="605" spans="1:17" x14ac:dyDescent="0.3">
      <c r="A605" s="6" t="s">
        <v>2703</v>
      </c>
      <c r="B605" s="5" t="s">
        <v>2090</v>
      </c>
      <c r="C605" s="4" t="s">
        <v>691</v>
      </c>
      <c r="D605" s="4" t="s">
        <v>1689</v>
      </c>
      <c r="N605" s="5">
        <v>6.25</v>
      </c>
      <c r="Q605" s="5" t="str">
        <f>"6281018140368"</f>
        <v>6281018140368</v>
      </c>
    </row>
    <row r="606" spans="1:17" x14ac:dyDescent="0.3">
      <c r="A606" s="6" t="s">
        <v>2704</v>
      </c>
      <c r="B606" s="5" t="s">
        <v>2090</v>
      </c>
      <c r="C606" s="4" t="s">
        <v>692</v>
      </c>
      <c r="D606" s="4" t="s">
        <v>1690</v>
      </c>
      <c r="N606" s="5">
        <v>37.25</v>
      </c>
      <c r="Q606" s="5" t="str">
        <f>"6281022153347"</f>
        <v>6281022153347</v>
      </c>
    </row>
    <row r="607" spans="1:17" x14ac:dyDescent="0.3">
      <c r="A607" s="6" t="s">
        <v>2705</v>
      </c>
      <c r="B607" s="5" t="s">
        <v>2090</v>
      </c>
      <c r="C607" s="4" t="s">
        <v>693</v>
      </c>
      <c r="D607" s="4" t="s">
        <v>1691</v>
      </c>
      <c r="N607" s="5">
        <v>32</v>
      </c>
      <c r="Q607" s="5" t="str">
        <f>"6297001083550"</f>
        <v>6297001083550</v>
      </c>
    </row>
    <row r="608" spans="1:17" x14ac:dyDescent="0.3">
      <c r="A608" s="6" t="s">
        <v>2706</v>
      </c>
      <c r="B608" s="5" t="s">
        <v>2090</v>
      </c>
      <c r="C608" s="4" t="s">
        <v>694</v>
      </c>
      <c r="D608" s="4" t="s">
        <v>1692</v>
      </c>
      <c r="N608" s="5">
        <v>42.5</v>
      </c>
      <c r="Q608" s="5" t="str">
        <f>"6281020321533"</f>
        <v>6281020321533</v>
      </c>
    </row>
    <row r="609" spans="1:17" x14ac:dyDescent="0.3">
      <c r="A609" s="6" t="s">
        <v>2707</v>
      </c>
      <c r="B609" s="5" t="s">
        <v>2090</v>
      </c>
      <c r="C609" s="4" t="s">
        <v>695</v>
      </c>
      <c r="D609" s="4" t="s">
        <v>1693</v>
      </c>
      <c r="N609" s="5">
        <v>38.950000000000003</v>
      </c>
      <c r="Q609" s="5" t="str">
        <f>"2144425000004"</f>
        <v>2144425000004</v>
      </c>
    </row>
    <row r="610" spans="1:17" x14ac:dyDescent="0.3">
      <c r="A610" s="6" t="s">
        <v>2708</v>
      </c>
      <c r="B610" s="5" t="s">
        <v>2090</v>
      </c>
      <c r="C610" s="4" t="s">
        <v>696</v>
      </c>
      <c r="D610" s="4" t="s">
        <v>1694</v>
      </c>
      <c r="N610" s="5">
        <v>14</v>
      </c>
      <c r="Q610" s="5" t="str">
        <f>"5711953038198"</f>
        <v>5711953038198</v>
      </c>
    </row>
    <row r="611" spans="1:17" x14ac:dyDescent="0.3">
      <c r="A611" s="6" t="s">
        <v>2709</v>
      </c>
      <c r="B611" s="5" t="s">
        <v>2090</v>
      </c>
      <c r="C611" s="4" t="s">
        <v>697</v>
      </c>
      <c r="D611" s="4" t="s">
        <v>1695</v>
      </c>
      <c r="N611" s="5">
        <v>34</v>
      </c>
      <c r="Q611" s="5" t="str">
        <f>"6297000670287"</f>
        <v>6297000670287</v>
      </c>
    </row>
    <row r="612" spans="1:17" x14ac:dyDescent="0.3">
      <c r="A612" s="6" t="s">
        <v>2710</v>
      </c>
      <c r="B612" s="5" t="s">
        <v>2090</v>
      </c>
      <c r="C612" s="4" t="s">
        <v>698</v>
      </c>
      <c r="D612" s="4" t="s">
        <v>1696</v>
      </c>
      <c r="N612" s="5">
        <v>17.5</v>
      </c>
      <c r="Q612" s="5" t="str">
        <f>"5202390021510"</f>
        <v>5202390021510</v>
      </c>
    </row>
    <row r="613" spans="1:17" x14ac:dyDescent="0.3">
      <c r="A613" s="6" t="s">
        <v>2711</v>
      </c>
      <c r="B613" s="5" t="s">
        <v>2090</v>
      </c>
      <c r="C613" s="4" t="s">
        <v>699</v>
      </c>
      <c r="D613" s="4" t="s">
        <v>1697</v>
      </c>
      <c r="N613" s="5">
        <v>4</v>
      </c>
      <c r="Q613" s="5" t="str">
        <f>"6281022117356"</f>
        <v>6281022117356</v>
      </c>
    </row>
    <row r="614" spans="1:17" x14ac:dyDescent="0.3">
      <c r="A614" s="6" t="s">
        <v>2712</v>
      </c>
      <c r="B614" s="5" t="s">
        <v>2090</v>
      </c>
      <c r="C614" s="4" t="s">
        <v>700</v>
      </c>
      <c r="D614" s="4" t="s">
        <v>1698</v>
      </c>
      <c r="N614" s="5">
        <v>1.5</v>
      </c>
      <c r="Q614" s="5" t="str">
        <f>"6281007038928"</f>
        <v>6281007038928</v>
      </c>
    </row>
    <row r="615" spans="1:17" x14ac:dyDescent="0.3">
      <c r="A615" s="6" t="s">
        <v>2713</v>
      </c>
      <c r="B615" s="5" t="s">
        <v>2090</v>
      </c>
      <c r="C615" s="4" t="s">
        <v>701</v>
      </c>
      <c r="D615" s="4" t="s">
        <v>1699</v>
      </c>
      <c r="N615" s="5">
        <v>18.95</v>
      </c>
      <c r="Q615" s="5" t="str">
        <f>"3073780593083"</f>
        <v>3073780593083</v>
      </c>
    </row>
    <row r="616" spans="1:17" x14ac:dyDescent="0.3">
      <c r="A616" s="6" t="s">
        <v>2714</v>
      </c>
      <c r="B616" s="5" t="s">
        <v>2090</v>
      </c>
      <c r="C616" s="4" t="s">
        <v>702</v>
      </c>
      <c r="D616" s="4" t="s">
        <v>1700</v>
      </c>
      <c r="N616" s="5">
        <v>1.75</v>
      </c>
      <c r="Q616" s="5" t="str">
        <f>"6281007046237"</f>
        <v>6281007046237</v>
      </c>
    </row>
    <row r="617" spans="1:17" x14ac:dyDescent="0.3">
      <c r="A617" s="6" t="s">
        <v>2715</v>
      </c>
      <c r="B617" s="5" t="s">
        <v>2090</v>
      </c>
      <c r="C617" s="4" t="s">
        <v>703</v>
      </c>
      <c r="D617" s="4" t="s">
        <v>1701</v>
      </c>
      <c r="N617" s="5">
        <v>10.25</v>
      </c>
      <c r="Q617" s="5" t="str">
        <f>"6281022114102"</f>
        <v>6281022114102</v>
      </c>
    </row>
    <row r="618" spans="1:17" x14ac:dyDescent="0.3">
      <c r="A618" s="6" t="s">
        <v>2716</v>
      </c>
      <c r="B618" s="5" t="s">
        <v>2090</v>
      </c>
      <c r="C618" s="4" t="s">
        <v>704</v>
      </c>
      <c r="D618" s="4" t="s">
        <v>1702</v>
      </c>
      <c r="N618" s="5">
        <v>8.9499999999999993</v>
      </c>
      <c r="Q618" s="5" t="str">
        <f>"6281007073134"</f>
        <v>6281007073134</v>
      </c>
    </row>
    <row r="619" spans="1:17" x14ac:dyDescent="0.3">
      <c r="A619" s="6" t="s">
        <v>2717</v>
      </c>
      <c r="B619" s="5" t="s">
        <v>2090</v>
      </c>
      <c r="C619" s="4" t="s">
        <v>705</v>
      </c>
      <c r="D619" s="4" t="s">
        <v>1703</v>
      </c>
      <c r="N619" s="5">
        <v>21.75</v>
      </c>
      <c r="Q619" s="5" t="str">
        <f>"6253012912876"</f>
        <v>6253012912876</v>
      </c>
    </row>
    <row r="620" spans="1:17" x14ac:dyDescent="0.3">
      <c r="A620" s="6" t="s">
        <v>2718</v>
      </c>
      <c r="B620" s="5" t="s">
        <v>2090</v>
      </c>
      <c r="C620" s="4" t="s">
        <v>706</v>
      </c>
      <c r="D620" s="4" t="s">
        <v>1704</v>
      </c>
      <c r="N620" s="5">
        <v>2.5</v>
      </c>
      <c r="Q620" s="5" t="str">
        <f>"6281057004140"</f>
        <v>6281057004140</v>
      </c>
    </row>
    <row r="621" spans="1:17" x14ac:dyDescent="0.3">
      <c r="A621" s="6" t="s">
        <v>2719</v>
      </c>
      <c r="B621" s="5" t="s">
        <v>2090</v>
      </c>
      <c r="C621" s="4" t="s">
        <v>707</v>
      </c>
      <c r="D621" s="4" t="s">
        <v>1705</v>
      </c>
      <c r="N621" s="5">
        <v>9</v>
      </c>
      <c r="Q621" s="5" t="str">
        <f>"6281123056240"</f>
        <v>6281123056240</v>
      </c>
    </row>
    <row r="622" spans="1:17" x14ac:dyDescent="0.3">
      <c r="A622" s="6" t="s">
        <v>2720</v>
      </c>
      <c r="B622" s="5" t="s">
        <v>2090</v>
      </c>
      <c r="C622" s="4" t="s">
        <v>708</v>
      </c>
      <c r="D622" s="4" t="s">
        <v>1706</v>
      </c>
      <c r="N622" s="5">
        <v>6.5</v>
      </c>
      <c r="Q622" s="5" t="str">
        <f>"6281022135206"</f>
        <v>6281022135206</v>
      </c>
    </row>
    <row r="623" spans="1:17" x14ac:dyDescent="0.3">
      <c r="A623" s="6" t="s">
        <v>2721</v>
      </c>
      <c r="B623" s="5" t="s">
        <v>2090</v>
      </c>
      <c r="C623" s="4" t="s">
        <v>709</v>
      </c>
      <c r="D623" s="4" t="s">
        <v>1707</v>
      </c>
      <c r="N623" s="5">
        <v>26.75</v>
      </c>
      <c r="Q623" s="5" t="str">
        <f>"3073780970198"</f>
        <v>3073780970198</v>
      </c>
    </row>
    <row r="624" spans="1:17" x14ac:dyDescent="0.3">
      <c r="A624" s="6" t="s">
        <v>2722</v>
      </c>
      <c r="B624" s="5" t="s">
        <v>2090</v>
      </c>
      <c r="C624" s="4" t="s">
        <v>710</v>
      </c>
      <c r="D624" s="4" t="s">
        <v>1708</v>
      </c>
      <c r="N624" s="5">
        <v>22.75</v>
      </c>
      <c r="Q624" s="5" t="str">
        <f>"6281024116586"</f>
        <v>6281024116586</v>
      </c>
    </row>
    <row r="625" spans="1:17" x14ac:dyDescent="0.3">
      <c r="A625" s="6" t="s">
        <v>2723</v>
      </c>
      <c r="B625" s="5" t="s">
        <v>2090</v>
      </c>
      <c r="C625" s="4" t="s">
        <v>711</v>
      </c>
      <c r="D625" s="4" t="s">
        <v>1709</v>
      </c>
      <c r="N625" s="5">
        <v>2</v>
      </c>
      <c r="Q625" s="5" t="str">
        <f>"6281057000067"</f>
        <v>6281057000067</v>
      </c>
    </row>
    <row r="626" spans="1:17" x14ac:dyDescent="0.3">
      <c r="A626" s="6" t="s">
        <v>2724</v>
      </c>
      <c r="B626" s="5" t="s">
        <v>2090</v>
      </c>
      <c r="C626" s="4" t="s">
        <v>712</v>
      </c>
      <c r="D626" s="4" t="s">
        <v>1710</v>
      </c>
      <c r="N626" s="5">
        <v>99.95</v>
      </c>
      <c r="Q626" s="5" t="str">
        <f>"2141067000003"</f>
        <v>2141067000003</v>
      </c>
    </row>
    <row r="627" spans="1:17" x14ac:dyDescent="0.3">
      <c r="A627" s="6" t="s">
        <v>2725</v>
      </c>
      <c r="B627" s="5" t="s">
        <v>2090</v>
      </c>
      <c r="C627" s="4" t="s">
        <v>713</v>
      </c>
      <c r="D627" s="4" t="s">
        <v>1711</v>
      </c>
      <c r="N627" s="5">
        <v>19.75</v>
      </c>
      <c r="Q627" s="5" t="str">
        <f>"8001860183669"</f>
        <v>8001860183669</v>
      </c>
    </row>
    <row r="628" spans="1:17" x14ac:dyDescent="0.3">
      <c r="A628" s="6" t="s">
        <v>2726</v>
      </c>
      <c r="B628" s="5" t="s">
        <v>2090</v>
      </c>
      <c r="C628" s="4" t="s">
        <v>714</v>
      </c>
      <c r="D628" s="4" t="s">
        <v>1712</v>
      </c>
      <c r="N628" s="5">
        <v>3</v>
      </c>
      <c r="Q628" s="5" t="str">
        <f>"6281007048729"</f>
        <v>6281007048729</v>
      </c>
    </row>
    <row r="629" spans="1:17" x14ac:dyDescent="0.3">
      <c r="A629" s="6" t="s">
        <v>2727</v>
      </c>
      <c r="B629" s="5" t="s">
        <v>2090</v>
      </c>
      <c r="C629" s="4" t="s">
        <v>715</v>
      </c>
      <c r="D629" s="4" t="s">
        <v>1713</v>
      </c>
      <c r="N629" s="5">
        <v>50.75</v>
      </c>
      <c r="Q629" s="5" t="str">
        <f>"6287007760388"</f>
        <v>6287007760388</v>
      </c>
    </row>
    <row r="630" spans="1:17" x14ac:dyDescent="0.3">
      <c r="A630" s="6" t="s">
        <v>2728</v>
      </c>
      <c r="B630" s="5" t="s">
        <v>2090</v>
      </c>
      <c r="C630" s="4" t="s">
        <v>716</v>
      </c>
      <c r="D630" s="4" t="s">
        <v>1714</v>
      </c>
      <c r="N630" s="5">
        <v>8.5</v>
      </c>
      <c r="Q630" s="5" t="str">
        <f>"6281022125344"</f>
        <v>6281022125344</v>
      </c>
    </row>
    <row r="631" spans="1:17" x14ac:dyDescent="0.3">
      <c r="A631" s="6" t="s">
        <v>2729</v>
      </c>
      <c r="B631" s="5" t="s">
        <v>2090</v>
      </c>
      <c r="C631" s="4" t="s">
        <v>717</v>
      </c>
      <c r="D631" s="4" t="s">
        <v>1715</v>
      </c>
      <c r="N631" s="5">
        <v>5.95</v>
      </c>
      <c r="Q631" s="5" t="str">
        <f>"3073786155186"</f>
        <v>3073786155186</v>
      </c>
    </row>
    <row r="632" spans="1:17" x14ac:dyDescent="0.3">
      <c r="A632" s="6" t="s">
        <v>2730</v>
      </c>
      <c r="B632" s="5" t="s">
        <v>2090</v>
      </c>
      <c r="C632" s="4" t="s">
        <v>718</v>
      </c>
      <c r="D632" s="4" t="s">
        <v>1716</v>
      </c>
      <c r="N632" s="5">
        <v>31.25</v>
      </c>
      <c r="Q632" s="5" t="str">
        <f>"8022284001490"</f>
        <v>8022284001490</v>
      </c>
    </row>
    <row r="633" spans="1:17" x14ac:dyDescent="0.3">
      <c r="A633" s="6" t="s">
        <v>2731</v>
      </c>
      <c r="B633" s="5" t="s">
        <v>2090</v>
      </c>
      <c r="C633" s="4" t="s">
        <v>719</v>
      </c>
      <c r="D633" s="4" t="s">
        <v>1717</v>
      </c>
      <c r="N633" s="5">
        <v>1.55</v>
      </c>
      <c r="Q633" s="5" t="str">
        <f>"6281022151237"</f>
        <v>6281022151237</v>
      </c>
    </row>
    <row r="634" spans="1:17" x14ac:dyDescent="0.3">
      <c r="A634" s="6" t="s">
        <v>2732</v>
      </c>
      <c r="B634" s="5" t="s">
        <v>2090</v>
      </c>
      <c r="C634" s="4" t="s">
        <v>720</v>
      </c>
      <c r="D634" s="4" t="s">
        <v>1718</v>
      </c>
      <c r="N634" s="5">
        <v>8.75</v>
      </c>
      <c r="Q634" s="5" t="str">
        <f>"6281007063838"</f>
        <v>6281007063838</v>
      </c>
    </row>
    <row r="635" spans="1:17" x14ac:dyDescent="0.3">
      <c r="A635" s="6" t="s">
        <v>2733</v>
      </c>
      <c r="B635" s="5" t="s">
        <v>2090</v>
      </c>
      <c r="C635" s="4" t="s">
        <v>721</v>
      </c>
      <c r="D635" s="4" t="s">
        <v>1719</v>
      </c>
      <c r="N635" s="5">
        <v>60.95</v>
      </c>
      <c r="Q635" s="5" t="str">
        <f>"2140441000004"</f>
        <v>2140441000004</v>
      </c>
    </row>
    <row r="636" spans="1:17" x14ac:dyDescent="0.3">
      <c r="A636" s="6" t="s">
        <v>2734</v>
      </c>
      <c r="B636" s="5" t="s">
        <v>2090</v>
      </c>
      <c r="C636" s="4" t="s">
        <v>722</v>
      </c>
      <c r="D636" s="4" t="s">
        <v>1720</v>
      </c>
      <c r="N636" s="5">
        <v>25.45</v>
      </c>
      <c r="Q636" s="5" t="str">
        <f>"2143282000004"</f>
        <v>2143282000004</v>
      </c>
    </row>
    <row r="637" spans="1:17" x14ac:dyDescent="0.3">
      <c r="A637" s="6" t="s">
        <v>2735</v>
      </c>
      <c r="B637" s="5" t="s">
        <v>2090</v>
      </c>
      <c r="C637" s="4" t="s">
        <v>723</v>
      </c>
      <c r="D637" s="4" t="s">
        <v>1721</v>
      </c>
      <c r="N637" s="5">
        <v>5</v>
      </c>
      <c r="Q637" s="5" t="str">
        <f>"6281022120417"</f>
        <v>6281022120417</v>
      </c>
    </row>
    <row r="638" spans="1:17" x14ac:dyDescent="0.3">
      <c r="A638" s="6" t="s">
        <v>2736</v>
      </c>
      <c r="B638" s="5" t="s">
        <v>2090</v>
      </c>
      <c r="C638" s="4" t="s">
        <v>724</v>
      </c>
      <c r="D638" s="4" t="s">
        <v>1722</v>
      </c>
      <c r="N638" s="5">
        <v>2.5</v>
      </c>
      <c r="Q638" s="5" t="str">
        <f>"6281007060387"</f>
        <v>6281007060387</v>
      </c>
    </row>
    <row r="639" spans="1:17" x14ac:dyDescent="0.3">
      <c r="A639" s="6" t="s">
        <v>2737</v>
      </c>
      <c r="B639" s="5" t="s">
        <v>2090</v>
      </c>
      <c r="C639" s="4" t="s">
        <v>725</v>
      </c>
      <c r="D639" s="4" t="s">
        <v>1723</v>
      </c>
      <c r="N639" s="5">
        <v>18.5</v>
      </c>
      <c r="Q639" s="5" t="str">
        <f>"6281024010716"</f>
        <v>6281024010716</v>
      </c>
    </row>
    <row r="640" spans="1:17" x14ac:dyDescent="0.3">
      <c r="A640" s="6" t="s">
        <v>2738</v>
      </c>
      <c r="B640" s="5" t="s">
        <v>2090</v>
      </c>
      <c r="C640" s="4" t="s">
        <v>726</v>
      </c>
      <c r="D640" s="4" t="s">
        <v>1724</v>
      </c>
      <c r="N640" s="5">
        <v>38.25</v>
      </c>
      <c r="Q640" s="5" t="str">
        <f>"6281018123682"</f>
        <v>6281018123682</v>
      </c>
    </row>
    <row r="641" spans="1:17" x14ac:dyDescent="0.3">
      <c r="A641" s="6" t="s">
        <v>2739</v>
      </c>
      <c r="B641" s="5" t="s">
        <v>2090</v>
      </c>
      <c r="C641" s="4" t="s">
        <v>727</v>
      </c>
      <c r="D641" s="4" t="s">
        <v>1725</v>
      </c>
      <c r="N641" s="5">
        <v>44.95</v>
      </c>
      <c r="Q641" s="5" t="str">
        <f>"2143499000002"</f>
        <v>2143499000002</v>
      </c>
    </row>
    <row r="642" spans="1:17" x14ac:dyDescent="0.3">
      <c r="A642" s="6" t="s">
        <v>2740</v>
      </c>
      <c r="B642" s="5" t="s">
        <v>2090</v>
      </c>
      <c r="C642" s="4" t="s">
        <v>728</v>
      </c>
      <c r="D642" s="4" t="s">
        <v>1726</v>
      </c>
      <c r="N642" s="5">
        <v>34</v>
      </c>
      <c r="Q642" s="5" t="str">
        <f>"6297000778785"</f>
        <v>6297000778785</v>
      </c>
    </row>
    <row r="643" spans="1:17" x14ac:dyDescent="0.3">
      <c r="A643" s="6" t="s">
        <v>2741</v>
      </c>
      <c r="B643" s="5" t="s">
        <v>2090</v>
      </c>
      <c r="C643" s="4" t="s">
        <v>729</v>
      </c>
      <c r="D643" s="4" t="s">
        <v>1727</v>
      </c>
      <c r="N643" s="5">
        <v>17</v>
      </c>
      <c r="Q643" s="5" t="str">
        <f>"5711953169120"</f>
        <v>5711953169120</v>
      </c>
    </row>
    <row r="644" spans="1:17" x14ac:dyDescent="0.3">
      <c r="A644" s="6" t="s">
        <v>2742</v>
      </c>
      <c r="B644" s="5" t="s">
        <v>2090</v>
      </c>
      <c r="C644" s="4" t="s">
        <v>730</v>
      </c>
      <c r="D644" s="4" t="s">
        <v>1728</v>
      </c>
      <c r="N644" s="5">
        <v>30.25</v>
      </c>
      <c r="Q644" s="5" t="str">
        <f>"6281020172685"</f>
        <v>6281020172685</v>
      </c>
    </row>
    <row r="645" spans="1:17" x14ac:dyDescent="0.3">
      <c r="A645" s="6" t="s">
        <v>2743</v>
      </c>
      <c r="B645" s="5" t="s">
        <v>2090</v>
      </c>
      <c r="C645" s="4" t="s">
        <v>731</v>
      </c>
      <c r="D645" s="4" t="s">
        <v>1729</v>
      </c>
      <c r="N645" s="5">
        <v>3.5</v>
      </c>
      <c r="Q645" s="5" t="str">
        <f>"6281057050246"</f>
        <v>6281057050246</v>
      </c>
    </row>
    <row r="646" spans="1:17" x14ac:dyDescent="0.3">
      <c r="A646" s="6" t="s">
        <v>2744</v>
      </c>
      <c r="B646" s="5" t="s">
        <v>2090</v>
      </c>
      <c r="C646" s="4" t="s">
        <v>732</v>
      </c>
      <c r="D646" s="4" t="s">
        <v>1730</v>
      </c>
      <c r="N646" s="5">
        <v>6</v>
      </c>
      <c r="Q646" s="5" t="str">
        <f>"6281026300006"</f>
        <v>6281026300006</v>
      </c>
    </row>
    <row r="647" spans="1:17" x14ac:dyDescent="0.3">
      <c r="A647" s="6" t="s">
        <v>2745</v>
      </c>
      <c r="B647" s="5" t="s">
        <v>2090</v>
      </c>
      <c r="C647" s="4" t="s">
        <v>733</v>
      </c>
      <c r="D647" s="4" t="s">
        <v>1731</v>
      </c>
      <c r="N647" s="5">
        <v>19.25</v>
      </c>
      <c r="Q647" s="5" t="str">
        <f>"6281033305513"</f>
        <v>6281033305513</v>
      </c>
    </row>
    <row r="648" spans="1:17" x14ac:dyDescent="0.3">
      <c r="A648" s="6" t="s">
        <v>2746</v>
      </c>
      <c r="B648" s="5" t="s">
        <v>2090</v>
      </c>
      <c r="C648" s="4" t="s">
        <v>734</v>
      </c>
      <c r="D648" s="4" t="s">
        <v>1732</v>
      </c>
      <c r="N648" s="5">
        <v>9.25</v>
      </c>
      <c r="Q648" s="5" t="str">
        <f>"6281024011102"</f>
        <v>6281024011102</v>
      </c>
    </row>
    <row r="649" spans="1:17" x14ac:dyDescent="0.3">
      <c r="A649" s="6" t="s">
        <v>2747</v>
      </c>
      <c r="B649" s="5" t="s">
        <v>2090</v>
      </c>
      <c r="C649" s="4" t="s">
        <v>735</v>
      </c>
      <c r="D649" s="4" t="s">
        <v>1733</v>
      </c>
      <c r="N649" s="5">
        <v>11.25</v>
      </c>
      <c r="Q649" s="5" t="str">
        <f>"9009301000369"</f>
        <v>9009301000369</v>
      </c>
    </row>
    <row r="650" spans="1:17" x14ac:dyDescent="0.3">
      <c r="A650" s="6" t="s">
        <v>2748</v>
      </c>
      <c r="B650" s="5" t="s">
        <v>2090</v>
      </c>
      <c r="C650" s="4" t="s">
        <v>736</v>
      </c>
      <c r="D650" s="4" t="s">
        <v>1734</v>
      </c>
      <c r="N650" s="5">
        <v>3</v>
      </c>
      <c r="Q650" s="5" t="str">
        <f>"6281007023511"</f>
        <v>6281007023511</v>
      </c>
    </row>
    <row r="651" spans="1:17" x14ac:dyDescent="0.3">
      <c r="A651" s="6" t="s">
        <v>2749</v>
      </c>
      <c r="B651" s="5" t="s">
        <v>2090</v>
      </c>
      <c r="C651" s="4" t="s">
        <v>737</v>
      </c>
      <c r="D651" s="4" t="s">
        <v>1735</v>
      </c>
      <c r="N651" s="5">
        <v>19.5</v>
      </c>
      <c r="Q651" s="5" t="str">
        <f>"5290036003273"</f>
        <v>5290036003273</v>
      </c>
    </row>
    <row r="652" spans="1:17" x14ac:dyDescent="0.3">
      <c r="A652" s="6" t="s">
        <v>2750</v>
      </c>
      <c r="B652" s="5" t="s">
        <v>2090</v>
      </c>
      <c r="C652" s="4" t="s">
        <v>738</v>
      </c>
      <c r="D652" s="4" t="s">
        <v>1736</v>
      </c>
      <c r="N652" s="5">
        <v>6.5</v>
      </c>
      <c r="Q652" s="5" t="str">
        <f>"6281022180411"</f>
        <v>6281022180411</v>
      </c>
    </row>
    <row r="653" spans="1:17" x14ac:dyDescent="0.3">
      <c r="A653" s="6" t="s">
        <v>2751</v>
      </c>
      <c r="B653" s="5" t="s">
        <v>2090</v>
      </c>
      <c r="C653" s="4" t="s">
        <v>739</v>
      </c>
      <c r="D653" s="4" t="s">
        <v>1737</v>
      </c>
      <c r="N653" s="5">
        <v>8.5</v>
      </c>
      <c r="Q653" s="5" t="str">
        <f>"6281022115352"</f>
        <v>6281022115352</v>
      </c>
    </row>
    <row r="654" spans="1:17" x14ac:dyDescent="0.3">
      <c r="A654" s="6" t="s">
        <v>2752</v>
      </c>
      <c r="B654" s="5" t="s">
        <v>2090</v>
      </c>
      <c r="C654" s="4" t="s">
        <v>740</v>
      </c>
      <c r="D654" s="4" t="s">
        <v>1738</v>
      </c>
      <c r="N654" s="5">
        <v>5.5</v>
      </c>
      <c r="Q654" s="5" t="str">
        <f>"6281007029599"</f>
        <v>6281007029599</v>
      </c>
    </row>
    <row r="655" spans="1:17" x14ac:dyDescent="0.3">
      <c r="A655" s="6" t="s">
        <v>2753</v>
      </c>
      <c r="B655" s="5" t="s">
        <v>2090</v>
      </c>
      <c r="C655" s="4" t="s">
        <v>741</v>
      </c>
      <c r="D655" s="4" t="s">
        <v>1739</v>
      </c>
      <c r="N655" s="5">
        <v>17.5</v>
      </c>
      <c r="Q655" s="5" t="str">
        <f>"5202390024894"</f>
        <v>5202390024894</v>
      </c>
    </row>
    <row r="656" spans="1:17" x14ac:dyDescent="0.3">
      <c r="A656" s="6" t="s">
        <v>2754</v>
      </c>
      <c r="B656" s="5" t="s">
        <v>2090</v>
      </c>
      <c r="C656" s="4" t="s">
        <v>742</v>
      </c>
      <c r="D656" s="4" t="s">
        <v>1740</v>
      </c>
      <c r="N656" s="5">
        <v>24</v>
      </c>
      <c r="Q656" s="5" t="str">
        <f>"5011056022545"</f>
        <v>5011056022545</v>
      </c>
    </row>
    <row r="657" spans="1:17" x14ac:dyDescent="0.3">
      <c r="A657" s="6" t="s">
        <v>2755</v>
      </c>
      <c r="B657" s="5" t="s">
        <v>2090</v>
      </c>
      <c r="C657" s="4" t="s">
        <v>743</v>
      </c>
      <c r="D657" s="4" t="s">
        <v>1741</v>
      </c>
      <c r="N657" s="5">
        <v>2.5</v>
      </c>
      <c r="Q657" s="5" t="str">
        <f>"6281007060370"</f>
        <v>6281007060370</v>
      </c>
    </row>
    <row r="658" spans="1:17" x14ac:dyDescent="0.3">
      <c r="A658" s="6" t="s">
        <v>2756</v>
      </c>
      <c r="B658" s="5" t="s">
        <v>2090</v>
      </c>
      <c r="C658" s="4" t="s">
        <v>744</v>
      </c>
      <c r="D658" s="4" t="s">
        <v>1742</v>
      </c>
      <c r="N658" s="5">
        <v>1.55</v>
      </c>
      <c r="Q658" s="5" t="str">
        <f>"6281022151251"</f>
        <v>6281022151251</v>
      </c>
    </row>
    <row r="659" spans="1:17" x14ac:dyDescent="0.3">
      <c r="A659" s="6" t="s">
        <v>2757</v>
      </c>
      <c r="B659" s="5" t="s">
        <v>2090</v>
      </c>
      <c r="C659" s="4" t="s">
        <v>745</v>
      </c>
      <c r="D659" s="4" t="s">
        <v>1743</v>
      </c>
      <c r="N659" s="5">
        <v>8.5</v>
      </c>
      <c r="Q659" s="5" t="str">
        <f>"6281022110050"</f>
        <v>6281022110050</v>
      </c>
    </row>
    <row r="660" spans="1:17" x14ac:dyDescent="0.3">
      <c r="A660" s="6" t="s">
        <v>2758</v>
      </c>
      <c r="B660" s="5" t="s">
        <v>2090</v>
      </c>
      <c r="C660" s="4" t="s">
        <v>746</v>
      </c>
      <c r="D660" s="4" t="s">
        <v>1744</v>
      </c>
      <c r="N660" s="5">
        <v>84.95</v>
      </c>
      <c r="Q660" s="5" t="str">
        <f>"2143311000005"</f>
        <v>2143311000005</v>
      </c>
    </row>
    <row r="661" spans="1:17" x14ac:dyDescent="0.3">
      <c r="A661" s="6" t="s">
        <v>2759</v>
      </c>
      <c r="B661" s="5" t="s">
        <v>2090</v>
      </c>
      <c r="C661" s="4" t="s">
        <v>747</v>
      </c>
      <c r="D661" s="4" t="s">
        <v>1745</v>
      </c>
      <c r="N661" s="5">
        <v>7</v>
      </c>
      <c r="Q661" s="5" t="str">
        <f>"5711953164071"</f>
        <v>5711953164071</v>
      </c>
    </row>
    <row r="662" spans="1:17" x14ac:dyDescent="0.3">
      <c r="A662" s="6" t="s">
        <v>2760</v>
      </c>
      <c r="B662" s="5" t="s">
        <v>2090</v>
      </c>
      <c r="C662" s="4" t="s">
        <v>748</v>
      </c>
      <c r="D662" s="4" t="s">
        <v>1746</v>
      </c>
      <c r="N662" s="5">
        <v>3</v>
      </c>
      <c r="Q662" s="5" t="str">
        <f>"6281057002702"</f>
        <v>6281057002702</v>
      </c>
    </row>
    <row r="663" spans="1:17" x14ac:dyDescent="0.3">
      <c r="A663" s="6" t="s">
        <v>2761</v>
      </c>
      <c r="B663" s="5" t="s">
        <v>2090</v>
      </c>
      <c r="C663" s="4" t="s">
        <v>749</v>
      </c>
      <c r="D663" s="4" t="s">
        <v>1747</v>
      </c>
      <c r="N663" s="5">
        <v>7.25</v>
      </c>
      <c r="Q663" s="5" t="str">
        <f>"6281022105193"</f>
        <v>6281022105193</v>
      </c>
    </row>
    <row r="664" spans="1:17" x14ac:dyDescent="0.3">
      <c r="A664" s="6" t="s">
        <v>2762</v>
      </c>
      <c r="B664" s="5" t="s">
        <v>2090</v>
      </c>
      <c r="C664" s="4" t="s">
        <v>750</v>
      </c>
      <c r="D664" s="4" t="s">
        <v>1748</v>
      </c>
      <c r="N664" s="5">
        <v>11.25</v>
      </c>
      <c r="Q664" s="5" t="str">
        <f>"6281051002180"</f>
        <v>6281051002180</v>
      </c>
    </row>
    <row r="665" spans="1:17" x14ac:dyDescent="0.3">
      <c r="A665" s="6" t="s">
        <v>2763</v>
      </c>
      <c r="B665" s="5" t="s">
        <v>2090</v>
      </c>
      <c r="C665" s="4" t="s">
        <v>751</v>
      </c>
      <c r="D665" s="4" t="s">
        <v>1749</v>
      </c>
      <c r="N665" s="5">
        <v>5.95</v>
      </c>
      <c r="Q665" s="5" t="str">
        <f>"6287007030016"</f>
        <v>6287007030016</v>
      </c>
    </row>
    <row r="666" spans="1:17" x14ac:dyDescent="0.3">
      <c r="A666" s="6" t="s">
        <v>2764</v>
      </c>
      <c r="B666" s="5" t="s">
        <v>2090</v>
      </c>
      <c r="C666" s="4" t="s">
        <v>752</v>
      </c>
      <c r="D666" s="4" t="s">
        <v>1750</v>
      </c>
      <c r="N666" s="5">
        <v>4.95</v>
      </c>
      <c r="Q666" s="5" t="str">
        <f>"5740900867208"</f>
        <v>5740900867208</v>
      </c>
    </row>
    <row r="667" spans="1:17" x14ac:dyDescent="0.3">
      <c r="A667" s="6" t="s">
        <v>2765</v>
      </c>
      <c r="B667" s="5" t="s">
        <v>2090</v>
      </c>
      <c r="C667" s="4" t="s">
        <v>753</v>
      </c>
      <c r="D667" s="4" t="s">
        <v>1751</v>
      </c>
      <c r="N667" s="5">
        <v>4.5</v>
      </c>
      <c r="Q667" s="5" t="str">
        <f>"6281007022835"</f>
        <v>6281007022835</v>
      </c>
    </row>
    <row r="668" spans="1:17" x14ac:dyDescent="0.3">
      <c r="A668" s="6" t="s">
        <v>2766</v>
      </c>
      <c r="B668" s="5" t="s">
        <v>2090</v>
      </c>
      <c r="C668" s="4" t="s">
        <v>754</v>
      </c>
      <c r="D668" s="4" t="s">
        <v>1752</v>
      </c>
      <c r="N668" s="5">
        <v>19.5</v>
      </c>
      <c r="Q668" s="5" t="str">
        <f>"6281024014219"</f>
        <v>6281024014219</v>
      </c>
    </row>
    <row r="669" spans="1:17" x14ac:dyDescent="0.3">
      <c r="A669" s="6" t="s">
        <v>2767</v>
      </c>
      <c r="B669" s="5" t="s">
        <v>2090</v>
      </c>
      <c r="C669" s="4" t="s">
        <v>755</v>
      </c>
      <c r="D669" s="4" t="s">
        <v>1753</v>
      </c>
      <c r="N669" s="5">
        <v>1.5</v>
      </c>
      <c r="Q669" s="5" t="str">
        <f>"6281007038959"</f>
        <v>6281007038959</v>
      </c>
    </row>
    <row r="670" spans="1:17" x14ac:dyDescent="0.3">
      <c r="A670" s="6" t="s">
        <v>2768</v>
      </c>
      <c r="B670" s="5" t="s">
        <v>2090</v>
      </c>
      <c r="C670" s="4" t="s">
        <v>756</v>
      </c>
      <c r="D670" s="4" t="s">
        <v>1754</v>
      </c>
      <c r="N670" s="5">
        <v>6</v>
      </c>
      <c r="Q670" s="5" t="str">
        <f>"6271002103011"</f>
        <v>6271002103011</v>
      </c>
    </row>
    <row r="671" spans="1:17" x14ac:dyDescent="0.3">
      <c r="A671" s="6" t="s">
        <v>2769</v>
      </c>
      <c r="B671" s="5" t="s">
        <v>2090</v>
      </c>
      <c r="C671" s="4" t="s">
        <v>757</v>
      </c>
      <c r="D671" s="4" t="s">
        <v>1755</v>
      </c>
      <c r="N671" s="5">
        <v>38</v>
      </c>
      <c r="Q671" s="5" t="str">
        <f>"6281057007660"</f>
        <v>6281057007660</v>
      </c>
    </row>
    <row r="672" spans="1:17" x14ac:dyDescent="0.3">
      <c r="A672" s="6" t="s">
        <v>2770</v>
      </c>
      <c r="B672" s="5" t="s">
        <v>2090</v>
      </c>
      <c r="C672" s="4" t="s">
        <v>758</v>
      </c>
      <c r="D672" s="4" t="s">
        <v>1756</v>
      </c>
      <c r="N672" s="5">
        <v>2</v>
      </c>
      <c r="Q672" s="5" t="str">
        <f>"6281057000210"</f>
        <v>6281057000210</v>
      </c>
    </row>
    <row r="673" spans="1:17" x14ac:dyDescent="0.3">
      <c r="A673" s="6" t="s">
        <v>2771</v>
      </c>
      <c r="B673" s="5" t="s">
        <v>2090</v>
      </c>
      <c r="C673" s="4" t="s">
        <v>759</v>
      </c>
      <c r="D673" s="4" t="s">
        <v>1757</v>
      </c>
      <c r="N673" s="5">
        <v>13.25</v>
      </c>
      <c r="Q673" s="5" t="str">
        <f>"6281057014101"</f>
        <v>6281057014101</v>
      </c>
    </row>
    <row r="674" spans="1:17" x14ac:dyDescent="0.3">
      <c r="A674" s="6" t="s">
        <v>2772</v>
      </c>
      <c r="B674" s="5" t="s">
        <v>2090</v>
      </c>
      <c r="C674" s="4" t="s">
        <v>760</v>
      </c>
      <c r="D674" s="4" t="s">
        <v>1758</v>
      </c>
      <c r="N674" s="5">
        <v>16.95</v>
      </c>
      <c r="Q674" s="5" t="str">
        <f>"5711953040603"</f>
        <v>5711953040603</v>
      </c>
    </row>
    <row r="675" spans="1:17" x14ac:dyDescent="0.3">
      <c r="A675" s="6" t="s">
        <v>2773</v>
      </c>
      <c r="B675" s="5" t="s">
        <v>2090</v>
      </c>
      <c r="C675" s="4" t="s">
        <v>761</v>
      </c>
      <c r="D675" s="4" t="s">
        <v>1759</v>
      </c>
      <c r="N675" s="5">
        <v>6.95</v>
      </c>
      <c r="Q675" s="5" t="str">
        <f>"6297000670492"</f>
        <v>6297000670492</v>
      </c>
    </row>
    <row r="676" spans="1:17" x14ac:dyDescent="0.3">
      <c r="A676" s="6" t="s">
        <v>2774</v>
      </c>
      <c r="B676" s="5" t="s">
        <v>2090</v>
      </c>
      <c r="C676" s="4" t="s">
        <v>762</v>
      </c>
      <c r="D676" s="4" t="s">
        <v>1760</v>
      </c>
      <c r="N676" s="5">
        <v>17.5</v>
      </c>
      <c r="Q676" s="5" t="str">
        <f>"5202390021121"</f>
        <v>5202390021121</v>
      </c>
    </row>
    <row r="677" spans="1:17" x14ac:dyDescent="0.3">
      <c r="A677" s="6" t="s">
        <v>2775</v>
      </c>
      <c r="B677" s="5" t="s">
        <v>2090</v>
      </c>
      <c r="C677" s="4" t="s">
        <v>763</v>
      </c>
      <c r="D677" s="4" t="s">
        <v>1761</v>
      </c>
      <c r="N677" s="5">
        <v>2</v>
      </c>
      <c r="Q677" s="5" t="str">
        <f>"6281039172713"</f>
        <v>6281039172713</v>
      </c>
    </row>
    <row r="678" spans="1:17" x14ac:dyDescent="0.3">
      <c r="A678" s="6" t="s">
        <v>2776</v>
      </c>
      <c r="B678" s="5" t="s">
        <v>2090</v>
      </c>
      <c r="C678" s="4" t="s">
        <v>764</v>
      </c>
      <c r="D678" s="4" t="s">
        <v>1762</v>
      </c>
      <c r="N678" s="5">
        <v>11.75</v>
      </c>
      <c r="Q678" s="5" t="str">
        <f>"6281057002528"</f>
        <v>6281057002528</v>
      </c>
    </row>
    <row r="679" spans="1:17" x14ac:dyDescent="0.3">
      <c r="A679" s="6" t="s">
        <v>2777</v>
      </c>
      <c r="B679" s="5" t="s">
        <v>2090</v>
      </c>
      <c r="C679" s="4" t="s">
        <v>765</v>
      </c>
      <c r="D679" s="4" t="s">
        <v>1763</v>
      </c>
      <c r="N679" s="5">
        <v>74.25</v>
      </c>
      <c r="Q679" s="5" t="str">
        <f>"6281039100938"</f>
        <v>6281039100938</v>
      </c>
    </row>
    <row r="680" spans="1:17" x14ac:dyDescent="0.3">
      <c r="A680" s="6" t="s">
        <v>2778</v>
      </c>
      <c r="B680" s="5" t="s">
        <v>2090</v>
      </c>
      <c r="C680" s="4" t="s">
        <v>766</v>
      </c>
      <c r="D680" s="4" t="s">
        <v>1764</v>
      </c>
      <c r="N680" s="5">
        <v>5.25</v>
      </c>
      <c r="Q680" s="5" t="str">
        <f>"6281020320932"</f>
        <v>6281020320932</v>
      </c>
    </row>
    <row r="681" spans="1:17" x14ac:dyDescent="0.3">
      <c r="A681" s="6" t="s">
        <v>2779</v>
      </c>
      <c r="B681" s="5" t="s">
        <v>2090</v>
      </c>
      <c r="C681" s="4" t="s">
        <v>767</v>
      </c>
      <c r="D681" s="4" t="s">
        <v>1765</v>
      </c>
      <c r="N681" s="5">
        <v>2</v>
      </c>
      <c r="Q681" s="5" t="str">
        <f>"6281039163414"</f>
        <v>6281039163414</v>
      </c>
    </row>
    <row r="682" spans="1:17" x14ac:dyDescent="0.3">
      <c r="A682" s="6" t="s">
        <v>2780</v>
      </c>
      <c r="B682" s="5" t="s">
        <v>2090</v>
      </c>
      <c r="C682" s="4" t="s">
        <v>768</v>
      </c>
      <c r="D682" s="4" t="s">
        <v>1766</v>
      </c>
      <c r="N682" s="5">
        <v>2</v>
      </c>
      <c r="Q682" s="5" t="str">
        <f>"6281039122015"</f>
        <v>6281039122015</v>
      </c>
    </row>
    <row r="683" spans="1:17" x14ac:dyDescent="0.3">
      <c r="A683" s="6" t="s">
        <v>2781</v>
      </c>
      <c r="B683" s="5" t="s">
        <v>2090</v>
      </c>
      <c r="C683" s="4" t="s">
        <v>769</v>
      </c>
      <c r="D683" s="4" t="s">
        <v>1767</v>
      </c>
      <c r="N683" s="5">
        <v>81.95</v>
      </c>
      <c r="Q683" s="5" t="str">
        <f>"2146316000001"</f>
        <v>2146316000001</v>
      </c>
    </row>
    <row r="684" spans="1:17" x14ac:dyDescent="0.3">
      <c r="A684" s="6" t="s">
        <v>2782</v>
      </c>
      <c r="B684" s="5" t="s">
        <v>2090</v>
      </c>
      <c r="C684" s="4" t="s">
        <v>770</v>
      </c>
      <c r="D684" s="4" t="s">
        <v>1768</v>
      </c>
      <c r="N684" s="5">
        <v>6.5</v>
      </c>
      <c r="Q684" s="5" t="str">
        <f>"6281007066204"</f>
        <v>6281007066204</v>
      </c>
    </row>
    <row r="685" spans="1:17" x14ac:dyDescent="0.3">
      <c r="A685" s="6" t="s">
        <v>2783</v>
      </c>
      <c r="B685" s="5" t="s">
        <v>2090</v>
      </c>
      <c r="C685" s="4" t="s">
        <v>771</v>
      </c>
      <c r="D685" s="4" t="s">
        <v>1769</v>
      </c>
      <c r="N685" s="5">
        <v>16.95</v>
      </c>
      <c r="Q685" s="5" t="str">
        <f>"5711953040627"</f>
        <v>5711953040627</v>
      </c>
    </row>
    <row r="686" spans="1:17" x14ac:dyDescent="0.3">
      <c r="A686" s="6" t="s">
        <v>2784</v>
      </c>
      <c r="B686" s="5" t="s">
        <v>2090</v>
      </c>
      <c r="C686" s="4" t="s">
        <v>772</v>
      </c>
      <c r="D686" s="4" t="s">
        <v>1770</v>
      </c>
      <c r="N686" s="5">
        <v>34.25</v>
      </c>
      <c r="Q686" s="5" t="str">
        <f>"6287007760685"</f>
        <v>6287007760685</v>
      </c>
    </row>
    <row r="687" spans="1:17" x14ac:dyDescent="0.3">
      <c r="A687" s="6" t="s">
        <v>2785</v>
      </c>
      <c r="B687" s="5" t="s">
        <v>2090</v>
      </c>
      <c r="C687" s="4" t="s">
        <v>773</v>
      </c>
      <c r="D687" s="4" t="s">
        <v>1771</v>
      </c>
      <c r="N687" s="5">
        <v>1.25</v>
      </c>
      <c r="Q687" s="5" t="str">
        <f>"6281039172317"</f>
        <v>6281039172317</v>
      </c>
    </row>
    <row r="688" spans="1:17" x14ac:dyDescent="0.3">
      <c r="A688" s="6" t="s">
        <v>2786</v>
      </c>
      <c r="B688" s="5" t="s">
        <v>2090</v>
      </c>
      <c r="C688" s="4" t="s">
        <v>774</v>
      </c>
      <c r="D688" s="4" t="s">
        <v>1772</v>
      </c>
      <c r="N688" s="5">
        <v>20.5</v>
      </c>
      <c r="Q688" s="5" t="str">
        <f>"6281063882800"</f>
        <v>6281063882800</v>
      </c>
    </row>
    <row r="689" spans="1:17" x14ac:dyDescent="0.3">
      <c r="A689" s="6" t="s">
        <v>2787</v>
      </c>
      <c r="B689" s="5" t="s">
        <v>2090</v>
      </c>
      <c r="C689" s="4" t="s">
        <v>775</v>
      </c>
      <c r="D689" s="4" t="s">
        <v>1773</v>
      </c>
      <c r="N689" s="5">
        <v>1.25</v>
      </c>
      <c r="Q689" s="5" t="str">
        <f>"6281057015832"</f>
        <v>6281057015832</v>
      </c>
    </row>
    <row r="690" spans="1:17" x14ac:dyDescent="0.3">
      <c r="A690" s="6" t="s">
        <v>2788</v>
      </c>
      <c r="B690" s="5" t="s">
        <v>2090</v>
      </c>
      <c r="C690" s="4" t="s">
        <v>776</v>
      </c>
      <c r="D690" s="4" t="s">
        <v>1774</v>
      </c>
      <c r="N690" s="5">
        <v>1.25</v>
      </c>
      <c r="Q690" s="5" t="str">
        <f>"6281057007004"</f>
        <v>6281057007004</v>
      </c>
    </row>
    <row r="691" spans="1:17" x14ac:dyDescent="0.3">
      <c r="A691" s="6" t="s">
        <v>2789</v>
      </c>
      <c r="B691" s="5" t="s">
        <v>2090</v>
      </c>
      <c r="C691" s="4" t="s">
        <v>777</v>
      </c>
      <c r="D691" s="4" t="s">
        <v>1775</v>
      </c>
      <c r="N691" s="5">
        <v>7.5</v>
      </c>
      <c r="Q691" s="5" t="str">
        <f>"6281022134117"</f>
        <v>6281022134117</v>
      </c>
    </row>
    <row r="692" spans="1:17" x14ac:dyDescent="0.3">
      <c r="A692" s="6" t="s">
        <v>2790</v>
      </c>
      <c r="B692" s="5" t="s">
        <v>2090</v>
      </c>
      <c r="C692" s="4" t="s">
        <v>778</v>
      </c>
      <c r="D692" s="4" t="s">
        <v>1776</v>
      </c>
      <c r="N692" s="5">
        <v>2</v>
      </c>
      <c r="Q692" s="5" t="str">
        <f>"6281057001149"</f>
        <v>6281057001149</v>
      </c>
    </row>
    <row r="693" spans="1:17" x14ac:dyDescent="0.3">
      <c r="A693" s="6" t="s">
        <v>2791</v>
      </c>
      <c r="B693" s="5" t="s">
        <v>2090</v>
      </c>
      <c r="C693" s="4" t="s">
        <v>779</v>
      </c>
      <c r="D693" s="4" t="s">
        <v>1777</v>
      </c>
      <c r="N693" s="5">
        <v>23</v>
      </c>
      <c r="Q693" s="5" t="str">
        <f>"6281020305335"</f>
        <v>6281020305335</v>
      </c>
    </row>
    <row r="694" spans="1:17" x14ac:dyDescent="0.3">
      <c r="A694" s="6" t="s">
        <v>2792</v>
      </c>
      <c r="B694" s="5" t="s">
        <v>2090</v>
      </c>
      <c r="C694" s="4" t="s">
        <v>780</v>
      </c>
      <c r="D694" s="4" t="s">
        <v>1778</v>
      </c>
      <c r="N694" s="5">
        <v>5</v>
      </c>
      <c r="Q694" s="5" t="str">
        <f>"6281018110064"</f>
        <v>6281018110064</v>
      </c>
    </row>
    <row r="695" spans="1:17" x14ac:dyDescent="0.3">
      <c r="A695" s="6" t="s">
        <v>2793</v>
      </c>
      <c r="B695" s="5" t="s">
        <v>2090</v>
      </c>
      <c r="C695" s="4" t="s">
        <v>781</v>
      </c>
      <c r="D695" s="4" t="s">
        <v>1779</v>
      </c>
      <c r="N695" s="5">
        <v>5.75</v>
      </c>
      <c r="Q695" s="5" t="str">
        <f>"6287005740016"</f>
        <v>6287005740016</v>
      </c>
    </row>
    <row r="696" spans="1:17" x14ac:dyDescent="0.3">
      <c r="A696" s="6" t="s">
        <v>2794</v>
      </c>
      <c r="B696" s="5" t="s">
        <v>2090</v>
      </c>
      <c r="C696" s="4" t="s">
        <v>782</v>
      </c>
      <c r="D696" s="4" t="s">
        <v>1780</v>
      </c>
      <c r="N696" s="5">
        <v>31</v>
      </c>
      <c r="Q696" s="5" t="str">
        <f>"6281039171259"</f>
        <v>6281039171259</v>
      </c>
    </row>
    <row r="697" spans="1:17" x14ac:dyDescent="0.3">
      <c r="A697" s="6" t="s">
        <v>2795</v>
      </c>
      <c r="B697" s="5" t="s">
        <v>2090</v>
      </c>
      <c r="C697" s="4" t="s">
        <v>783</v>
      </c>
      <c r="D697" s="4" t="s">
        <v>1781</v>
      </c>
      <c r="N697" s="5">
        <v>30.5</v>
      </c>
      <c r="Q697" s="5" t="str">
        <f>"6271002190325"</f>
        <v>6271002190325</v>
      </c>
    </row>
    <row r="698" spans="1:17" x14ac:dyDescent="0.3">
      <c r="A698" s="6" t="s">
        <v>2796</v>
      </c>
      <c r="B698" s="5" t="s">
        <v>2090</v>
      </c>
      <c r="C698" s="4" t="s">
        <v>784</v>
      </c>
      <c r="D698" s="4" t="s">
        <v>1782</v>
      </c>
      <c r="N698" s="5">
        <v>13.75</v>
      </c>
      <c r="Q698" s="5" t="str">
        <f>"6281073160028"</f>
        <v>6281073160028</v>
      </c>
    </row>
    <row r="699" spans="1:17" x14ac:dyDescent="0.3">
      <c r="A699" s="6" t="s">
        <v>2797</v>
      </c>
      <c r="B699" s="5" t="s">
        <v>2090</v>
      </c>
      <c r="C699" s="4" t="s">
        <v>785</v>
      </c>
      <c r="D699" s="4" t="s">
        <v>1783</v>
      </c>
      <c r="N699" s="5">
        <v>26.75</v>
      </c>
      <c r="Q699" s="5" t="str">
        <f>"8692971482637"</f>
        <v>8692971482637</v>
      </c>
    </row>
    <row r="700" spans="1:17" x14ac:dyDescent="0.3">
      <c r="A700" s="6" t="s">
        <v>2798</v>
      </c>
      <c r="B700" s="5" t="s">
        <v>2090</v>
      </c>
      <c r="C700" s="4" t="s">
        <v>786</v>
      </c>
      <c r="D700" s="4" t="s">
        <v>1784</v>
      </c>
      <c r="N700" s="5">
        <v>6.5</v>
      </c>
      <c r="Q700" s="5" t="str">
        <f>"6281018140467"</f>
        <v>6281018140467</v>
      </c>
    </row>
    <row r="701" spans="1:17" x14ac:dyDescent="0.3">
      <c r="A701" s="6" t="s">
        <v>2799</v>
      </c>
      <c r="B701" s="5" t="s">
        <v>2090</v>
      </c>
      <c r="C701" s="4" t="s">
        <v>787</v>
      </c>
      <c r="D701" s="4" t="s">
        <v>1785</v>
      </c>
      <c r="N701" s="5">
        <v>16.5</v>
      </c>
      <c r="Q701" s="5" t="str">
        <f>"6281022167139"</f>
        <v>6281022167139</v>
      </c>
    </row>
    <row r="702" spans="1:17" x14ac:dyDescent="0.3">
      <c r="A702" s="6" t="s">
        <v>2800</v>
      </c>
      <c r="B702" s="5" t="s">
        <v>2090</v>
      </c>
      <c r="C702" s="4" t="s">
        <v>788</v>
      </c>
      <c r="D702" s="4" t="s">
        <v>1786</v>
      </c>
      <c r="N702" s="5">
        <v>30.5</v>
      </c>
      <c r="Q702" s="5" t="str">
        <f>"6271002190127"</f>
        <v>6271002190127</v>
      </c>
    </row>
    <row r="703" spans="1:17" x14ac:dyDescent="0.3">
      <c r="A703" s="6" t="s">
        <v>2801</v>
      </c>
      <c r="B703" s="5" t="s">
        <v>2090</v>
      </c>
      <c r="C703" s="4" t="s">
        <v>789</v>
      </c>
      <c r="D703" s="4" t="s">
        <v>1787</v>
      </c>
      <c r="N703" s="5">
        <v>11.25</v>
      </c>
      <c r="Q703" s="5" t="str">
        <f>"9009301000352"</f>
        <v>9009301000352</v>
      </c>
    </row>
    <row r="704" spans="1:17" x14ac:dyDescent="0.3">
      <c r="A704" s="6" t="s">
        <v>2802</v>
      </c>
      <c r="B704" s="5" t="s">
        <v>2090</v>
      </c>
      <c r="C704" s="4" t="s">
        <v>790</v>
      </c>
      <c r="D704" s="4" t="s">
        <v>1788</v>
      </c>
      <c r="N704" s="5">
        <v>19.25</v>
      </c>
      <c r="Q704" s="5" t="str">
        <f>"6281033305537"</f>
        <v>6281033305537</v>
      </c>
    </row>
    <row r="705" spans="1:17" x14ac:dyDescent="0.3">
      <c r="A705" s="6" t="s">
        <v>2803</v>
      </c>
      <c r="B705" s="5" t="s">
        <v>2090</v>
      </c>
      <c r="C705" s="4" t="s">
        <v>791</v>
      </c>
      <c r="D705" s="4" t="s">
        <v>1789</v>
      </c>
      <c r="N705" s="5">
        <v>3.95</v>
      </c>
      <c r="Q705" s="5" t="str">
        <f>"6281022118414"</f>
        <v>6281022118414</v>
      </c>
    </row>
    <row r="706" spans="1:17" x14ac:dyDescent="0.3">
      <c r="A706" s="6" t="s">
        <v>2804</v>
      </c>
      <c r="B706" s="5" t="s">
        <v>2090</v>
      </c>
      <c r="C706" s="4" t="s">
        <v>792</v>
      </c>
      <c r="D706" s="4" t="s">
        <v>1790</v>
      </c>
      <c r="N706" s="5">
        <v>20.5</v>
      </c>
      <c r="Q706" s="5" t="str">
        <f>"6281073160684"</f>
        <v>6281073160684</v>
      </c>
    </row>
    <row r="707" spans="1:17" x14ac:dyDescent="0.3">
      <c r="A707" s="6" t="s">
        <v>2805</v>
      </c>
      <c r="B707" s="5" t="s">
        <v>2090</v>
      </c>
      <c r="C707" s="4" t="s">
        <v>793</v>
      </c>
      <c r="D707" s="4" t="s">
        <v>1791</v>
      </c>
      <c r="N707" s="5">
        <v>2</v>
      </c>
      <c r="Q707" s="5" t="str">
        <f>"6281057000203"</f>
        <v>6281057000203</v>
      </c>
    </row>
    <row r="708" spans="1:17" x14ac:dyDescent="0.3">
      <c r="A708" s="6" t="s">
        <v>2806</v>
      </c>
      <c r="B708" s="5" t="s">
        <v>2090</v>
      </c>
      <c r="C708" s="4" t="s">
        <v>794</v>
      </c>
      <c r="D708" s="4" t="s">
        <v>1792</v>
      </c>
      <c r="N708" s="5">
        <v>7.75</v>
      </c>
      <c r="Q708" s="5" t="str">
        <f>"6281007168205"</f>
        <v>6281007168205</v>
      </c>
    </row>
    <row r="709" spans="1:17" x14ac:dyDescent="0.3">
      <c r="A709" s="6" t="s">
        <v>2807</v>
      </c>
      <c r="B709" s="5" t="s">
        <v>2090</v>
      </c>
      <c r="C709" s="4" t="s">
        <v>795</v>
      </c>
      <c r="D709" s="4" t="s">
        <v>1793</v>
      </c>
      <c r="N709" s="5">
        <v>37.25</v>
      </c>
      <c r="Q709" s="5" t="str">
        <f>"6281057007370"</f>
        <v>6281057007370</v>
      </c>
    </row>
    <row r="710" spans="1:17" x14ac:dyDescent="0.3">
      <c r="A710" s="6" t="s">
        <v>2808</v>
      </c>
      <c r="B710" s="5" t="s">
        <v>2090</v>
      </c>
      <c r="C710" s="4" t="s">
        <v>796</v>
      </c>
      <c r="D710" s="4" t="s">
        <v>1794</v>
      </c>
      <c r="N710" s="5">
        <v>44</v>
      </c>
      <c r="Q710" s="5" t="str">
        <f>"6281007044936"</f>
        <v>6281007044936</v>
      </c>
    </row>
    <row r="711" spans="1:17" x14ac:dyDescent="0.3">
      <c r="A711" s="6" t="s">
        <v>2809</v>
      </c>
      <c r="B711" s="5" t="s">
        <v>2090</v>
      </c>
      <c r="C711" s="4" t="s">
        <v>797</v>
      </c>
      <c r="D711" s="4" t="s">
        <v>1795</v>
      </c>
      <c r="N711" s="5">
        <v>23.75</v>
      </c>
      <c r="Q711" s="5" t="str">
        <f>"8692971482644"</f>
        <v>8692971482644</v>
      </c>
    </row>
    <row r="712" spans="1:17" x14ac:dyDescent="0.3">
      <c r="A712" s="6" t="s">
        <v>2810</v>
      </c>
      <c r="B712" s="5" t="s">
        <v>2090</v>
      </c>
      <c r="C712" s="4" t="s">
        <v>798</v>
      </c>
      <c r="D712" s="4" t="s">
        <v>1796</v>
      </c>
      <c r="N712" s="5">
        <v>9.75</v>
      </c>
      <c r="Q712" s="5" t="str">
        <f>"6281100500391"</f>
        <v>6281100500391</v>
      </c>
    </row>
    <row r="713" spans="1:17" x14ac:dyDescent="0.3">
      <c r="A713" s="6" t="s">
        <v>2811</v>
      </c>
      <c r="B713" s="5" t="s">
        <v>2090</v>
      </c>
      <c r="C713" s="4" t="s">
        <v>799</v>
      </c>
      <c r="D713" s="4" t="s">
        <v>1797</v>
      </c>
      <c r="N713" s="5">
        <v>2.15</v>
      </c>
      <c r="Q713" s="5" t="str">
        <f>"6281039175318"</f>
        <v>6281039175318</v>
      </c>
    </row>
    <row r="714" spans="1:17" x14ac:dyDescent="0.3">
      <c r="A714" s="6" t="s">
        <v>2812</v>
      </c>
      <c r="B714" s="5" t="s">
        <v>2090</v>
      </c>
      <c r="C714" s="4" t="s">
        <v>800</v>
      </c>
      <c r="D714" s="4" t="s">
        <v>1798</v>
      </c>
      <c r="N714" s="5">
        <v>23</v>
      </c>
      <c r="Q714" s="5" t="str">
        <f>"6281057015863"</f>
        <v>6281057015863</v>
      </c>
    </row>
    <row r="715" spans="1:17" x14ac:dyDescent="0.3">
      <c r="A715" s="6" t="s">
        <v>2813</v>
      </c>
      <c r="B715" s="5" t="s">
        <v>2090</v>
      </c>
      <c r="C715" s="4" t="s">
        <v>801</v>
      </c>
      <c r="D715" s="4" t="s">
        <v>1799</v>
      </c>
      <c r="N715" s="5">
        <v>16</v>
      </c>
      <c r="Q715" s="5" t="str">
        <f>"6281100500308"</f>
        <v>6281100500308</v>
      </c>
    </row>
    <row r="716" spans="1:17" x14ac:dyDescent="0.3">
      <c r="A716" s="6" t="s">
        <v>2814</v>
      </c>
      <c r="B716" s="5" t="s">
        <v>2090</v>
      </c>
      <c r="C716" s="4" t="s">
        <v>802</v>
      </c>
      <c r="D716" s="4" t="s">
        <v>1800</v>
      </c>
      <c r="N716" s="5">
        <v>2</v>
      </c>
      <c r="Q716" s="5" t="str">
        <f>"6281057016341"</f>
        <v>6281057016341</v>
      </c>
    </row>
    <row r="717" spans="1:17" x14ac:dyDescent="0.3">
      <c r="A717" s="6" t="s">
        <v>2815</v>
      </c>
      <c r="B717" s="5" t="s">
        <v>2090</v>
      </c>
      <c r="C717" s="4" t="s">
        <v>803</v>
      </c>
      <c r="D717" s="4" t="s">
        <v>1801</v>
      </c>
      <c r="N717" s="5">
        <v>10.5</v>
      </c>
      <c r="Q717" s="5" t="str">
        <f>"6281024010129"</f>
        <v>6281024010129</v>
      </c>
    </row>
    <row r="718" spans="1:17" x14ac:dyDescent="0.3">
      <c r="A718" s="6" t="s">
        <v>2816</v>
      </c>
      <c r="B718" s="5" t="s">
        <v>2090</v>
      </c>
      <c r="C718" s="4" t="s">
        <v>804</v>
      </c>
      <c r="D718" s="4" t="s">
        <v>1802</v>
      </c>
      <c r="N718" s="5">
        <v>2.5</v>
      </c>
      <c r="Q718" s="5" t="str">
        <f>"6281039162011"</f>
        <v>6281039162011</v>
      </c>
    </row>
    <row r="719" spans="1:17" x14ac:dyDescent="0.3">
      <c r="A719" s="6" t="s">
        <v>2817</v>
      </c>
      <c r="B719" s="5" t="s">
        <v>2090</v>
      </c>
      <c r="C719" s="4" t="s">
        <v>805</v>
      </c>
      <c r="D719" s="4" t="s">
        <v>1803</v>
      </c>
      <c r="N719" s="5">
        <v>23.75</v>
      </c>
      <c r="Q719" s="5" t="str">
        <f>"6281057009091"</f>
        <v>6281057009091</v>
      </c>
    </row>
    <row r="720" spans="1:17" x14ac:dyDescent="0.3">
      <c r="A720" s="6" t="s">
        <v>2818</v>
      </c>
      <c r="B720" s="5" t="s">
        <v>2090</v>
      </c>
      <c r="C720" s="4" t="s">
        <v>806</v>
      </c>
      <c r="D720" s="4" t="s">
        <v>1804</v>
      </c>
      <c r="N720" s="5">
        <v>2</v>
      </c>
      <c r="Q720" s="5" t="str">
        <f>"6281007032582"</f>
        <v>6281007032582</v>
      </c>
    </row>
    <row r="721" spans="1:17" x14ac:dyDescent="0.3">
      <c r="A721" s="6" t="s">
        <v>2819</v>
      </c>
      <c r="B721" s="5" t="s">
        <v>2090</v>
      </c>
      <c r="C721" s="4" t="s">
        <v>807</v>
      </c>
      <c r="D721" s="4" t="s">
        <v>1805</v>
      </c>
      <c r="N721" s="5">
        <v>105.95</v>
      </c>
      <c r="Q721" s="5" t="str">
        <f>"2140363000007"</f>
        <v>2140363000007</v>
      </c>
    </row>
    <row r="722" spans="1:17" x14ac:dyDescent="0.3">
      <c r="A722" s="6" t="s">
        <v>2820</v>
      </c>
      <c r="B722" s="5" t="s">
        <v>2090</v>
      </c>
      <c r="C722" s="4" t="s">
        <v>808</v>
      </c>
      <c r="D722" s="4" t="s">
        <v>1806</v>
      </c>
      <c r="N722" s="5">
        <v>32</v>
      </c>
      <c r="Q722" s="5" t="str">
        <f>"3228023050407"</f>
        <v>3228023050407</v>
      </c>
    </row>
    <row r="723" spans="1:17" x14ac:dyDescent="0.3">
      <c r="A723" s="6" t="s">
        <v>2821</v>
      </c>
      <c r="B723" s="5" t="s">
        <v>2090</v>
      </c>
      <c r="C723" s="4" t="s">
        <v>809</v>
      </c>
      <c r="D723" s="4" t="s">
        <v>1807</v>
      </c>
      <c r="N723" s="5">
        <v>5.5</v>
      </c>
      <c r="Q723" s="5" t="str">
        <f>"6281007032759"</f>
        <v>6281007032759</v>
      </c>
    </row>
    <row r="724" spans="1:17" x14ac:dyDescent="0.3">
      <c r="A724" s="6" t="s">
        <v>2822</v>
      </c>
      <c r="B724" s="5" t="s">
        <v>2090</v>
      </c>
      <c r="C724" s="4" t="s">
        <v>810</v>
      </c>
      <c r="D724" s="4" t="s">
        <v>1808</v>
      </c>
      <c r="N724" s="5">
        <v>3</v>
      </c>
      <c r="Q724" s="5" t="str">
        <f>"6281057012237"</f>
        <v>6281057012237</v>
      </c>
    </row>
    <row r="725" spans="1:17" x14ac:dyDescent="0.3">
      <c r="A725" s="6" t="s">
        <v>2823</v>
      </c>
      <c r="B725" s="5" t="s">
        <v>2090</v>
      </c>
      <c r="C725" s="4" t="s">
        <v>811</v>
      </c>
      <c r="D725" s="4" t="s">
        <v>1809</v>
      </c>
      <c r="N725" s="5">
        <v>12.25</v>
      </c>
      <c r="Q725" s="5" t="str">
        <f>"6191513505138"</f>
        <v>6191513505138</v>
      </c>
    </row>
    <row r="726" spans="1:17" x14ac:dyDescent="0.3">
      <c r="A726" s="6" t="s">
        <v>2824</v>
      </c>
      <c r="B726" s="5" t="s">
        <v>2090</v>
      </c>
      <c r="C726" s="4" t="s">
        <v>812</v>
      </c>
      <c r="D726" s="4" t="s">
        <v>1810</v>
      </c>
      <c r="N726" s="5">
        <v>2</v>
      </c>
      <c r="Q726" s="5" t="str">
        <f>"6281039106213"</f>
        <v>6281039106213</v>
      </c>
    </row>
    <row r="727" spans="1:17" x14ac:dyDescent="0.3">
      <c r="A727" s="6" t="s">
        <v>2825</v>
      </c>
      <c r="B727" s="5" t="s">
        <v>2090</v>
      </c>
      <c r="C727" s="4" t="s">
        <v>813</v>
      </c>
      <c r="D727" s="4" t="s">
        <v>1811</v>
      </c>
      <c r="N727" s="5">
        <v>13</v>
      </c>
      <c r="Q727" s="5" t="str">
        <f>"6281022121094"</f>
        <v>6281022121094</v>
      </c>
    </row>
    <row r="728" spans="1:17" x14ac:dyDescent="0.3">
      <c r="A728" s="6" t="s">
        <v>2826</v>
      </c>
      <c r="B728" s="5" t="s">
        <v>2090</v>
      </c>
      <c r="C728" s="4" t="s">
        <v>814</v>
      </c>
      <c r="D728" s="4" t="s">
        <v>1812</v>
      </c>
      <c r="N728" s="5">
        <v>24.45</v>
      </c>
      <c r="Q728" s="5" t="str">
        <f>"2140310000005"</f>
        <v>2140310000005</v>
      </c>
    </row>
    <row r="729" spans="1:17" x14ac:dyDescent="0.3">
      <c r="A729" s="6" t="s">
        <v>2827</v>
      </c>
      <c r="B729" s="5" t="s">
        <v>2090</v>
      </c>
      <c r="C729" s="4" t="s">
        <v>815</v>
      </c>
      <c r="D729" s="4" t="s">
        <v>1813</v>
      </c>
      <c r="N729" s="5">
        <v>9.25</v>
      </c>
      <c r="Q729" s="5" t="str">
        <f>"8901262010016"</f>
        <v>8901262010016</v>
      </c>
    </row>
    <row r="730" spans="1:17" x14ac:dyDescent="0.3">
      <c r="A730" s="6" t="s">
        <v>2828</v>
      </c>
      <c r="B730" s="5" t="s">
        <v>2090</v>
      </c>
      <c r="C730" s="4" t="s">
        <v>816</v>
      </c>
      <c r="D730" s="4" t="s">
        <v>1814</v>
      </c>
      <c r="N730" s="5">
        <v>1.25</v>
      </c>
      <c r="Q730" s="5" t="str">
        <f>"6281057007035"</f>
        <v>6281057007035</v>
      </c>
    </row>
    <row r="731" spans="1:17" x14ac:dyDescent="0.3">
      <c r="A731" s="6" t="s">
        <v>2829</v>
      </c>
      <c r="B731" s="5" t="s">
        <v>2090</v>
      </c>
      <c r="C731" s="4" t="s">
        <v>817</v>
      </c>
      <c r="D731" s="4" t="s">
        <v>1815</v>
      </c>
      <c r="N731" s="5">
        <v>30.75</v>
      </c>
      <c r="Q731" s="5" t="str">
        <f>"6281007062251"</f>
        <v>6281007062251</v>
      </c>
    </row>
    <row r="732" spans="1:17" x14ac:dyDescent="0.3">
      <c r="A732" s="6" t="s">
        <v>2830</v>
      </c>
      <c r="B732" s="5" t="s">
        <v>2090</v>
      </c>
      <c r="C732" s="4" t="s">
        <v>818</v>
      </c>
      <c r="D732" s="4" t="s">
        <v>1816</v>
      </c>
      <c r="N732" s="5">
        <v>30.95</v>
      </c>
      <c r="Q732" s="5" t="str">
        <f>"6281039175738"</f>
        <v>6281039175738</v>
      </c>
    </row>
    <row r="733" spans="1:17" x14ac:dyDescent="0.3">
      <c r="A733" s="6" t="s">
        <v>2831</v>
      </c>
      <c r="B733" s="5" t="s">
        <v>2090</v>
      </c>
      <c r="C733" s="4" t="s">
        <v>819</v>
      </c>
      <c r="D733" s="4" t="s">
        <v>1817</v>
      </c>
      <c r="N733" s="5">
        <v>4.25</v>
      </c>
      <c r="Q733" s="5" t="str">
        <f>"6281022124033"</f>
        <v>6281022124033</v>
      </c>
    </row>
    <row r="734" spans="1:17" x14ac:dyDescent="0.3">
      <c r="A734" s="6" t="s">
        <v>2832</v>
      </c>
      <c r="B734" s="5" t="s">
        <v>2090</v>
      </c>
      <c r="C734" s="4" t="s">
        <v>820</v>
      </c>
      <c r="D734" s="4" t="s">
        <v>1818</v>
      </c>
      <c r="N734" s="5">
        <v>12.25</v>
      </c>
      <c r="Q734" s="5" t="str">
        <f>"3073781182682"</f>
        <v>3073781182682</v>
      </c>
    </row>
    <row r="735" spans="1:17" x14ac:dyDescent="0.3">
      <c r="A735" s="6" t="s">
        <v>2833</v>
      </c>
      <c r="B735" s="5" t="s">
        <v>2090</v>
      </c>
      <c r="C735" s="4" t="s">
        <v>821</v>
      </c>
      <c r="D735" s="4" t="s">
        <v>1819</v>
      </c>
      <c r="N735" s="5">
        <v>20</v>
      </c>
      <c r="Q735" s="5" t="str">
        <f>"5202390019319"</f>
        <v>5202390019319</v>
      </c>
    </row>
    <row r="736" spans="1:17" x14ac:dyDescent="0.3">
      <c r="A736" s="6" t="s">
        <v>2834</v>
      </c>
      <c r="B736" s="5" t="s">
        <v>2090</v>
      </c>
      <c r="C736" s="4" t="s">
        <v>822</v>
      </c>
      <c r="D736" s="4" t="s">
        <v>1820</v>
      </c>
      <c r="N736" s="5">
        <v>9.75</v>
      </c>
      <c r="Q736" s="5" t="str">
        <f>"6281039711110"</f>
        <v>6281039711110</v>
      </c>
    </row>
    <row r="737" spans="1:17" x14ac:dyDescent="0.3">
      <c r="A737" s="6" t="s">
        <v>2835</v>
      </c>
      <c r="B737" s="5" t="s">
        <v>2090</v>
      </c>
      <c r="C737" s="4" t="s">
        <v>823</v>
      </c>
      <c r="D737" s="4" t="s">
        <v>1821</v>
      </c>
      <c r="N737" s="5">
        <v>27.95</v>
      </c>
      <c r="Q737" s="5" t="str">
        <f>"8695543003865"</f>
        <v>8695543003865</v>
      </c>
    </row>
    <row r="738" spans="1:17" x14ac:dyDescent="0.3">
      <c r="A738" s="6" t="s">
        <v>2836</v>
      </c>
      <c r="B738" s="5" t="s">
        <v>2090</v>
      </c>
      <c r="C738" s="4" t="s">
        <v>824</v>
      </c>
      <c r="D738" s="4" t="s">
        <v>1822</v>
      </c>
      <c r="N738" s="5">
        <v>19.25</v>
      </c>
      <c r="Q738" s="5" t="str">
        <f>"6281033305605"</f>
        <v>6281033305605</v>
      </c>
    </row>
    <row r="739" spans="1:17" x14ac:dyDescent="0.3">
      <c r="A739" s="6" t="s">
        <v>2837</v>
      </c>
      <c r="B739" s="5" t="s">
        <v>2090</v>
      </c>
      <c r="C739" s="4" t="s">
        <v>825</v>
      </c>
      <c r="D739" s="4" t="s">
        <v>1823</v>
      </c>
      <c r="N739" s="5">
        <v>59.95</v>
      </c>
      <c r="Q739" s="5" t="str">
        <f>"2144843000006"</f>
        <v>2144843000006</v>
      </c>
    </row>
    <row r="740" spans="1:17" x14ac:dyDescent="0.3">
      <c r="A740" s="6" t="s">
        <v>2838</v>
      </c>
      <c r="B740" s="5" t="s">
        <v>2090</v>
      </c>
      <c r="C740" s="4" t="s">
        <v>826</v>
      </c>
      <c r="D740" s="4" t="s">
        <v>1824</v>
      </c>
      <c r="N740" s="5">
        <v>20.95</v>
      </c>
      <c r="Q740" s="5" t="str">
        <f>"7340001804201"</f>
        <v>7340001804201</v>
      </c>
    </row>
    <row r="741" spans="1:17" x14ac:dyDescent="0.3">
      <c r="A741" s="6" t="s">
        <v>2839</v>
      </c>
      <c r="B741" s="5" t="s">
        <v>2090</v>
      </c>
      <c r="C741" s="4" t="s">
        <v>827</v>
      </c>
      <c r="D741" s="4" t="s">
        <v>1825</v>
      </c>
      <c r="N741" s="5">
        <v>3</v>
      </c>
      <c r="Q741" s="5" t="str">
        <f>"6281057002726"</f>
        <v>6281057002726</v>
      </c>
    </row>
    <row r="742" spans="1:17" x14ac:dyDescent="0.3">
      <c r="A742" s="6" t="s">
        <v>2840</v>
      </c>
      <c r="B742" s="5" t="s">
        <v>2090</v>
      </c>
      <c r="C742" s="4" t="s">
        <v>828</v>
      </c>
      <c r="D742" s="4" t="s">
        <v>1826</v>
      </c>
      <c r="N742" s="5">
        <v>1.5</v>
      </c>
      <c r="Q742" s="5" t="str">
        <f>"6271002190417"</f>
        <v>6271002190417</v>
      </c>
    </row>
    <row r="743" spans="1:17" x14ac:dyDescent="0.3">
      <c r="A743" s="6" t="s">
        <v>2841</v>
      </c>
      <c r="B743" s="5" t="s">
        <v>2090</v>
      </c>
      <c r="C743" s="4" t="s">
        <v>829</v>
      </c>
      <c r="D743" s="4" t="s">
        <v>1827</v>
      </c>
      <c r="N743" s="5">
        <v>4</v>
      </c>
      <c r="Q743" s="5" t="str">
        <f>"6281022160109"</f>
        <v>6281022160109</v>
      </c>
    </row>
    <row r="744" spans="1:17" x14ac:dyDescent="0.3">
      <c r="A744" s="6" t="s">
        <v>2842</v>
      </c>
      <c r="B744" s="5" t="s">
        <v>2090</v>
      </c>
      <c r="C744" s="4" t="s">
        <v>830</v>
      </c>
      <c r="D744" s="4" t="s">
        <v>1828</v>
      </c>
      <c r="N744" s="5">
        <v>1.55</v>
      </c>
      <c r="Q744" s="5" t="str">
        <f>"6281039174113"</f>
        <v>6281039174113</v>
      </c>
    </row>
    <row r="745" spans="1:17" x14ac:dyDescent="0.3">
      <c r="A745" s="6" t="s">
        <v>2843</v>
      </c>
      <c r="B745" s="5" t="s">
        <v>2090</v>
      </c>
      <c r="C745" s="4" t="s">
        <v>831</v>
      </c>
      <c r="D745" s="4" t="s">
        <v>1829</v>
      </c>
      <c r="N745" s="5">
        <v>4</v>
      </c>
      <c r="Q745" s="5" t="str">
        <f>"62810593"</f>
        <v>62810593</v>
      </c>
    </row>
    <row r="746" spans="1:17" x14ac:dyDescent="0.3">
      <c r="A746" s="6" t="s">
        <v>2844</v>
      </c>
      <c r="B746" s="5" t="s">
        <v>2090</v>
      </c>
      <c r="C746" s="4" t="s">
        <v>832</v>
      </c>
      <c r="D746" s="4" t="s">
        <v>1830</v>
      </c>
      <c r="N746" s="5">
        <v>10.25</v>
      </c>
      <c r="Q746" s="5" t="str">
        <f>"6281007070232"</f>
        <v>6281007070232</v>
      </c>
    </row>
    <row r="747" spans="1:17" x14ac:dyDescent="0.3">
      <c r="A747" s="6" t="s">
        <v>2845</v>
      </c>
      <c r="B747" s="5" t="s">
        <v>2090</v>
      </c>
      <c r="C747" s="4" t="s">
        <v>833</v>
      </c>
      <c r="D747" s="4" t="s">
        <v>1831</v>
      </c>
      <c r="N747" s="5">
        <v>76.25</v>
      </c>
      <c r="Q747" s="5" t="str">
        <f>"6281018148463"</f>
        <v>6281018148463</v>
      </c>
    </row>
    <row r="748" spans="1:17" x14ac:dyDescent="0.3">
      <c r="A748" s="6" t="s">
        <v>2846</v>
      </c>
      <c r="B748" s="5" t="s">
        <v>2090</v>
      </c>
      <c r="C748" s="4" t="s">
        <v>834</v>
      </c>
      <c r="D748" s="4" t="s">
        <v>1832</v>
      </c>
      <c r="N748" s="5">
        <v>2</v>
      </c>
      <c r="Q748" s="5" t="str">
        <f>"6281007032575"</f>
        <v>6281007032575</v>
      </c>
    </row>
    <row r="749" spans="1:17" x14ac:dyDescent="0.3">
      <c r="A749" s="6" t="s">
        <v>2847</v>
      </c>
      <c r="B749" s="5" t="s">
        <v>2090</v>
      </c>
      <c r="C749" s="4" t="s">
        <v>835</v>
      </c>
      <c r="D749" s="4" t="s">
        <v>1833</v>
      </c>
      <c r="N749" s="5">
        <v>3</v>
      </c>
      <c r="Q749" s="5" t="str">
        <f>"6281007039826"</f>
        <v>6281007039826</v>
      </c>
    </row>
    <row r="750" spans="1:17" x14ac:dyDescent="0.3">
      <c r="A750" s="6" t="s">
        <v>2848</v>
      </c>
      <c r="B750" s="5" t="s">
        <v>2090</v>
      </c>
      <c r="C750" s="4" t="s">
        <v>836</v>
      </c>
      <c r="D750" s="4" t="s">
        <v>1834</v>
      </c>
      <c r="N750" s="5">
        <v>1.25</v>
      </c>
      <c r="Q750" s="5" t="str">
        <f>"6281057007011"</f>
        <v>6281057007011</v>
      </c>
    </row>
    <row r="751" spans="1:17" x14ac:dyDescent="0.3">
      <c r="A751" s="6" t="s">
        <v>2849</v>
      </c>
      <c r="B751" s="5" t="s">
        <v>2090</v>
      </c>
      <c r="C751" s="4" t="s">
        <v>837</v>
      </c>
      <c r="D751" s="4" t="s">
        <v>1835</v>
      </c>
      <c r="N751" s="5">
        <v>37.25</v>
      </c>
      <c r="Q751" s="5" t="str">
        <f>"6281022153361"</f>
        <v>6281022153361</v>
      </c>
    </row>
    <row r="752" spans="1:17" x14ac:dyDescent="0.3">
      <c r="A752" s="6" t="s">
        <v>2850</v>
      </c>
      <c r="B752" s="5" t="s">
        <v>2090</v>
      </c>
      <c r="C752" s="4" t="s">
        <v>838</v>
      </c>
      <c r="D752" s="4" t="s">
        <v>1836</v>
      </c>
      <c r="N752" s="5">
        <v>6</v>
      </c>
      <c r="Q752" s="5" t="str">
        <f>"6281007042499"</f>
        <v>6281007042499</v>
      </c>
    </row>
    <row r="753" spans="1:17" x14ac:dyDescent="0.3">
      <c r="A753" s="6" t="s">
        <v>2851</v>
      </c>
      <c r="B753" s="5" t="s">
        <v>2090</v>
      </c>
      <c r="C753" s="4" t="s">
        <v>839</v>
      </c>
      <c r="D753" s="4" t="s">
        <v>1837</v>
      </c>
      <c r="N753" s="5">
        <v>9</v>
      </c>
      <c r="Q753" s="5" t="str">
        <f>"6281123056431"</f>
        <v>6281123056431</v>
      </c>
    </row>
    <row r="754" spans="1:17" x14ac:dyDescent="0.3">
      <c r="A754" s="6" t="s">
        <v>2852</v>
      </c>
      <c r="B754" s="5" t="s">
        <v>2090</v>
      </c>
      <c r="C754" s="4" t="s">
        <v>840</v>
      </c>
      <c r="D754" s="4" t="s">
        <v>1838</v>
      </c>
      <c r="N754" s="5">
        <v>2.25</v>
      </c>
      <c r="Q754" s="5" t="str">
        <f>"6281022109115"</f>
        <v>6281022109115</v>
      </c>
    </row>
    <row r="755" spans="1:17" x14ac:dyDescent="0.3">
      <c r="A755" s="6" t="s">
        <v>2853</v>
      </c>
      <c r="B755" s="5" t="s">
        <v>2090</v>
      </c>
      <c r="C755" s="4" t="s">
        <v>841</v>
      </c>
      <c r="D755" s="4" t="s">
        <v>1839</v>
      </c>
      <c r="N755" s="5">
        <v>23.25</v>
      </c>
      <c r="Q755" s="5" t="str">
        <f>"6281026121618"</f>
        <v>6281026121618</v>
      </c>
    </row>
    <row r="756" spans="1:17" x14ac:dyDescent="0.3">
      <c r="A756" s="6" t="s">
        <v>2854</v>
      </c>
      <c r="B756" s="5" t="s">
        <v>2090</v>
      </c>
      <c r="C756" s="4" t="s">
        <v>842</v>
      </c>
      <c r="D756" s="4" t="s">
        <v>1840</v>
      </c>
      <c r="N756" s="5">
        <v>42.25</v>
      </c>
      <c r="Q756" s="5" t="str">
        <f>"6281007045971"</f>
        <v>6281007045971</v>
      </c>
    </row>
    <row r="757" spans="1:17" x14ac:dyDescent="0.3">
      <c r="A757" s="6" t="s">
        <v>2855</v>
      </c>
      <c r="B757" s="5" t="s">
        <v>2090</v>
      </c>
      <c r="C757" s="4" t="s">
        <v>843</v>
      </c>
      <c r="D757" s="4" t="s">
        <v>1841</v>
      </c>
      <c r="N757" s="5">
        <v>37</v>
      </c>
      <c r="Q757" s="5" t="str">
        <f>"6281039171433"</f>
        <v>6281039171433</v>
      </c>
    </row>
    <row r="758" spans="1:17" x14ac:dyDescent="0.3">
      <c r="A758" s="6" t="s">
        <v>2856</v>
      </c>
      <c r="B758" s="5" t="s">
        <v>2090</v>
      </c>
      <c r="C758" s="4" t="s">
        <v>844</v>
      </c>
      <c r="D758" s="4" t="s">
        <v>1842</v>
      </c>
      <c r="N758" s="5">
        <v>39.950000000000003</v>
      </c>
      <c r="Q758" s="5" t="str">
        <f>"6281007045728"</f>
        <v>6281007045728</v>
      </c>
    </row>
    <row r="759" spans="1:17" x14ac:dyDescent="0.3">
      <c r="A759" s="6" t="s">
        <v>2857</v>
      </c>
      <c r="B759" s="5" t="s">
        <v>2090</v>
      </c>
      <c r="C759" s="4" t="s">
        <v>845</v>
      </c>
      <c r="D759" s="4" t="s">
        <v>1843</v>
      </c>
      <c r="N759" s="5">
        <v>37.25</v>
      </c>
      <c r="Q759" s="5" t="str">
        <f>"6281007036085"</f>
        <v>6281007036085</v>
      </c>
    </row>
    <row r="760" spans="1:17" x14ac:dyDescent="0.3">
      <c r="A760" s="6" t="s">
        <v>2858</v>
      </c>
      <c r="B760" s="5" t="s">
        <v>2090</v>
      </c>
      <c r="C760" s="4" t="s">
        <v>846</v>
      </c>
      <c r="D760" s="4" t="s">
        <v>1844</v>
      </c>
      <c r="N760" s="5">
        <v>8.25</v>
      </c>
      <c r="Q760" s="5" t="str">
        <f>"6281020174887"</f>
        <v>6281020174887</v>
      </c>
    </row>
    <row r="761" spans="1:17" x14ac:dyDescent="0.3">
      <c r="A761" s="6" t="s">
        <v>2859</v>
      </c>
      <c r="B761" s="5" t="s">
        <v>2090</v>
      </c>
      <c r="C761" s="4" t="s">
        <v>847</v>
      </c>
      <c r="D761" s="4" t="s">
        <v>1845</v>
      </c>
      <c r="N761" s="5">
        <v>1.95</v>
      </c>
      <c r="Q761" s="5" t="str">
        <f>"6223000754627"</f>
        <v>6223000754627</v>
      </c>
    </row>
    <row r="762" spans="1:17" x14ac:dyDescent="0.3">
      <c r="A762" s="6" t="s">
        <v>2860</v>
      </c>
      <c r="B762" s="5" t="s">
        <v>2090</v>
      </c>
      <c r="C762" s="4" t="s">
        <v>848</v>
      </c>
      <c r="D762" s="4" t="s">
        <v>1846</v>
      </c>
      <c r="N762" s="5">
        <v>51</v>
      </c>
      <c r="Q762" s="5" t="str">
        <f>"6281073160103"</f>
        <v>6281073160103</v>
      </c>
    </row>
    <row r="763" spans="1:17" x14ac:dyDescent="0.3">
      <c r="A763" s="6" t="s">
        <v>2861</v>
      </c>
      <c r="B763" s="5" t="s">
        <v>2090</v>
      </c>
      <c r="C763" s="4" t="s">
        <v>849</v>
      </c>
      <c r="D763" s="4" t="s">
        <v>1847</v>
      </c>
      <c r="N763" s="5">
        <v>2</v>
      </c>
      <c r="Q763" s="5" t="str">
        <f>"6281057016365"</f>
        <v>6281057016365</v>
      </c>
    </row>
    <row r="764" spans="1:17" x14ac:dyDescent="0.3">
      <c r="A764" s="6" t="s">
        <v>2862</v>
      </c>
      <c r="B764" s="5" t="s">
        <v>2090</v>
      </c>
      <c r="C764" s="4" t="s">
        <v>850</v>
      </c>
      <c r="D764" s="4" t="s">
        <v>1848</v>
      </c>
      <c r="N764" s="5">
        <v>71.95</v>
      </c>
      <c r="Q764" s="5" t="str">
        <f>"2146315000002"</f>
        <v>2146315000002</v>
      </c>
    </row>
    <row r="765" spans="1:17" x14ac:dyDescent="0.3">
      <c r="A765" s="6" t="s">
        <v>2863</v>
      </c>
      <c r="B765" s="5" t="s">
        <v>2090</v>
      </c>
      <c r="C765" s="4" t="s">
        <v>851</v>
      </c>
      <c r="D765" s="4" t="s">
        <v>1849</v>
      </c>
      <c r="N765" s="5">
        <v>1.5</v>
      </c>
      <c r="Q765" s="5" t="str">
        <f>"6271002190318"</f>
        <v>6271002190318</v>
      </c>
    </row>
    <row r="766" spans="1:17" x14ac:dyDescent="0.3">
      <c r="A766" s="6" t="s">
        <v>2864</v>
      </c>
      <c r="B766" s="5" t="s">
        <v>2090</v>
      </c>
      <c r="C766" s="4" t="s">
        <v>852</v>
      </c>
      <c r="D766" s="4" t="s">
        <v>1850</v>
      </c>
      <c r="N766" s="5">
        <v>11.75</v>
      </c>
      <c r="Q766" s="5" t="str">
        <f>"6281039711219"</f>
        <v>6281039711219</v>
      </c>
    </row>
    <row r="767" spans="1:17" x14ac:dyDescent="0.3">
      <c r="A767" s="6" t="s">
        <v>2865</v>
      </c>
      <c r="B767" s="5" t="s">
        <v>2090</v>
      </c>
      <c r="C767" s="4" t="s">
        <v>853</v>
      </c>
      <c r="D767" s="4" t="s">
        <v>1851</v>
      </c>
      <c r="N767" s="5">
        <v>7.25</v>
      </c>
      <c r="Q767" s="5" t="str">
        <f>"6281022105209"</f>
        <v>6281022105209</v>
      </c>
    </row>
    <row r="768" spans="1:17" x14ac:dyDescent="0.3">
      <c r="A768" s="6" t="s">
        <v>2866</v>
      </c>
      <c r="B768" s="5" t="s">
        <v>2090</v>
      </c>
      <c r="C768" s="4" t="s">
        <v>854</v>
      </c>
      <c r="D768" s="4" t="s">
        <v>1852</v>
      </c>
      <c r="N768" s="5">
        <v>7.95</v>
      </c>
      <c r="Q768" s="5" t="str">
        <f>"6281057015986"</f>
        <v>6281057015986</v>
      </c>
    </row>
    <row r="769" spans="1:17" x14ac:dyDescent="0.3">
      <c r="A769" s="6" t="s">
        <v>2867</v>
      </c>
      <c r="B769" s="5" t="s">
        <v>2090</v>
      </c>
      <c r="C769" s="4" t="s">
        <v>855</v>
      </c>
      <c r="D769" s="4" t="s">
        <v>1853</v>
      </c>
      <c r="N769" s="5">
        <v>11.25</v>
      </c>
      <c r="Q769" s="5" t="str">
        <f>"9009301000376"</f>
        <v>9009301000376</v>
      </c>
    </row>
    <row r="770" spans="1:17" x14ac:dyDescent="0.3">
      <c r="A770" s="6" t="s">
        <v>2868</v>
      </c>
      <c r="B770" s="5" t="s">
        <v>2090</v>
      </c>
      <c r="C770" s="4" t="s">
        <v>856</v>
      </c>
      <c r="D770" s="4" t="s">
        <v>1854</v>
      </c>
      <c r="N770" s="5">
        <v>10.25</v>
      </c>
      <c r="Q770" s="5" t="str">
        <f>"6281022114126"</f>
        <v>6281022114126</v>
      </c>
    </row>
    <row r="771" spans="1:17" x14ac:dyDescent="0.3">
      <c r="A771" s="6" t="s">
        <v>2869</v>
      </c>
      <c r="B771" s="5" t="s">
        <v>2090</v>
      </c>
      <c r="C771" s="4" t="s">
        <v>857</v>
      </c>
      <c r="D771" s="4" t="s">
        <v>1855</v>
      </c>
      <c r="N771" s="5">
        <v>47.95</v>
      </c>
      <c r="Q771" s="5" t="str">
        <f>"2145271000002"</f>
        <v>2145271000002</v>
      </c>
    </row>
    <row r="772" spans="1:17" x14ac:dyDescent="0.3">
      <c r="A772" s="6" t="s">
        <v>2870</v>
      </c>
      <c r="B772" s="5" t="s">
        <v>2090</v>
      </c>
      <c r="C772" s="4" t="s">
        <v>858</v>
      </c>
      <c r="D772" s="4" t="s">
        <v>1856</v>
      </c>
      <c r="N772" s="5">
        <v>1.25</v>
      </c>
      <c r="Q772" s="5" t="str">
        <f>"6271002118411"</f>
        <v>6271002118411</v>
      </c>
    </row>
    <row r="773" spans="1:17" x14ac:dyDescent="0.3">
      <c r="A773" s="6" t="s">
        <v>2871</v>
      </c>
      <c r="B773" s="5" t="s">
        <v>2090</v>
      </c>
      <c r="C773" s="4" t="s">
        <v>859</v>
      </c>
      <c r="D773" s="4" t="s">
        <v>1857</v>
      </c>
      <c r="N773" s="5">
        <v>9.5</v>
      </c>
      <c r="Q773" s="5" t="str">
        <f>"8719200274990"</f>
        <v>8719200274990</v>
      </c>
    </row>
    <row r="774" spans="1:17" x14ac:dyDescent="0.3">
      <c r="A774" s="6" t="s">
        <v>2872</v>
      </c>
      <c r="B774" s="5" t="s">
        <v>2090</v>
      </c>
      <c r="C774" s="4" t="s">
        <v>860</v>
      </c>
      <c r="D774" s="4" t="s">
        <v>1858</v>
      </c>
      <c r="N774" s="5">
        <v>31.95</v>
      </c>
      <c r="Q774" s="5" t="str">
        <f>"2142677000001"</f>
        <v>2142677000001</v>
      </c>
    </row>
    <row r="775" spans="1:17" x14ac:dyDescent="0.3">
      <c r="A775" s="6" t="s">
        <v>2873</v>
      </c>
      <c r="B775" s="5" t="s">
        <v>2090</v>
      </c>
      <c r="C775" s="4" t="s">
        <v>861</v>
      </c>
      <c r="D775" s="4" t="s">
        <v>1859</v>
      </c>
      <c r="N775" s="5">
        <v>32</v>
      </c>
      <c r="Q775" s="5" t="str">
        <f>"6297001083543"</f>
        <v>6297001083543</v>
      </c>
    </row>
    <row r="776" spans="1:17" x14ac:dyDescent="0.3">
      <c r="A776" s="6" t="s">
        <v>2874</v>
      </c>
      <c r="B776" s="5" t="s">
        <v>2090</v>
      </c>
      <c r="C776" s="4" t="s">
        <v>862</v>
      </c>
      <c r="D776" s="4" t="s">
        <v>1860</v>
      </c>
      <c r="N776" s="5">
        <v>19.75</v>
      </c>
      <c r="Q776" s="5" t="str">
        <f>"6253012900514"</f>
        <v>6253012900514</v>
      </c>
    </row>
    <row r="777" spans="1:17" x14ac:dyDescent="0.3">
      <c r="A777" s="6" t="s">
        <v>2875</v>
      </c>
      <c r="B777" s="5" t="s">
        <v>2090</v>
      </c>
      <c r="C777" s="4" t="s">
        <v>863</v>
      </c>
      <c r="D777" s="4" t="s">
        <v>1861</v>
      </c>
      <c r="N777" s="5">
        <v>17.5</v>
      </c>
      <c r="Q777" s="5" t="str">
        <f>"5202390021848"</f>
        <v>5202390021848</v>
      </c>
    </row>
    <row r="778" spans="1:17" x14ac:dyDescent="0.3">
      <c r="A778" s="6" t="s">
        <v>2876</v>
      </c>
      <c r="B778" s="5" t="s">
        <v>2090</v>
      </c>
      <c r="C778" s="4" t="s">
        <v>864</v>
      </c>
      <c r="D778" s="4" t="s">
        <v>1862</v>
      </c>
      <c r="N778" s="5">
        <v>6.75</v>
      </c>
      <c r="Q778" s="5" t="str">
        <f>"6281057009077"</f>
        <v>6281057009077</v>
      </c>
    </row>
    <row r="779" spans="1:17" x14ac:dyDescent="0.3">
      <c r="A779" s="6" t="s">
        <v>2877</v>
      </c>
      <c r="B779" s="5" t="s">
        <v>2090</v>
      </c>
      <c r="C779" s="4" t="s">
        <v>865</v>
      </c>
      <c r="D779" s="4" t="s">
        <v>1863</v>
      </c>
      <c r="N779" s="5">
        <v>14</v>
      </c>
      <c r="Q779" s="5" t="str">
        <f>"6297000670256"</f>
        <v>6297000670256</v>
      </c>
    </row>
    <row r="780" spans="1:17" x14ac:dyDescent="0.3">
      <c r="A780" s="6" t="s">
        <v>2878</v>
      </c>
      <c r="B780" s="5" t="s">
        <v>2090</v>
      </c>
      <c r="C780" s="4" t="s">
        <v>866</v>
      </c>
      <c r="D780" s="4" t="s">
        <v>1864</v>
      </c>
      <c r="N780" s="5">
        <v>17.25</v>
      </c>
      <c r="Q780" s="5" t="str">
        <f>"3023260032175"</f>
        <v>3023260032175</v>
      </c>
    </row>
    <row r="781" spans="1:17" x14ac:dyDescent="0.3">
      <c r="A781" s="6" t="s">
        <v>2879</v>
      </c>
      <c r="B781" s="5" t="s">
        <v>2090</v>
      </c>
      <c r="C781" s="4" t="s">
        <v>867</v>
      </c>
      <c r="D781" s="4" t="s">
        <v>1865</v>
      </c>
      <c r="N781" s="5">
        <v>2</v>
      </c>
      <c r="Q781" s="5" t="str">
        <f>"6281022112115"</f>
        <v>6281022112115</v>
      </c>
    </row>
    <row r="782" spans="1:17" x14ac:dyDescent="0.3">
      <c r="A782" s="6" t="s">
        <v>2880</v>
      </c>
      <c r="B782" s="5" t="s">
        <v>2090</v>
      </c>
      <c r="C782" s="4" t="s">
        <v>868</v>
      </c>
      <c r="D782" s="4" t="s">
        <v>1866</v>
      </c>
      <c r="N782" s="5">
        <v>16.75</v>
      </c>
      <c r="Q782" s="5" t="str">
        <f>"6285835000782"</f>
        <v>6285835000782</v>
      </c>
    </row>
    <row r="783" spans="1:17" x14ac:dyDescent="0.3">
      <c r="A783" s="6" t="s">
        <v>2881</v>
      </c>
      <c r="B783" s="5" t="s">
        <v>2090</v>
      </c>
      <c r="C783" s="4" t="s">
        <v>869</v>
      </c>
      <c r="D783" s="4" t="s">
        <v>1867</v>
      </c>
      <c r="N783" s="5">
        <v>17</v>
      </c>
      <c r="Q783" s="5" t="str">
        <f>"6281024010914"</f>
        <v>6281024010914</v>
      </c>
    </row>
    <row r="784" spans="1:17" x14ac:dyDescent="0.3">
      <c r="A784" s="6" t="s">
        <v>2882</v>
      </c>
      <c r="B784" s="5" t="s">
        <v>2090</v>
      </c>
      <c r="C784" s="4" t="s">
        <v>870</v>
      </c>
      <c r="D784" s="4" t="s">
        <v>1868</v>
      </c>
      <c r="N784" s="5">
        <v>2</v>
      </c>
      <c r="Q784" s="5" t="str">
        <f>"6281039163216"</f>
        <v>6281039163216</v>
      </c>
    </row>
    <row r="785" spans="1:17" x14ac:dyDescent="0.3">
      <c r="A785" s="6" t="s">
        <v>2883</v>
      </c>
      <c r="B785" s="5" t="s">
        <v>2090</v>
      </c>
      <c r="C785" s="4" t="s">
        <v>871</v>
      </c>
      <c r="D785" s="4" t="s">
        <v>1869</v>
      </c>
      <c r="N785" s="5">
        <v>5</v>
      </c>
      <c r="Q785" s="5" t="str">
        <f>"6281051002203"</f>
        <v>6281051002203</v>
      </c>
    </row>
    <row r="786" spans="1:17" x14ac:dyDescent="0.3">
      <c r="A786" s="6" t="s">
        <v>2884</v>
      </c>
      <c r="B786" s="5" t="s">
        <v>2090</v>
      </c>
      <c r="C786" s="4" t="s">
        <v>872</v>
      </c>
      <c r="D786" s="4" t="s">
        <v>1870</v>
      </c>
      <c r="N786" s="5">
        <v>109.95</v>
      </c>
      <c r="Q786" s="5" t="str">
        <f>"2147534000002"</f>
        <v>2147534000002</v>
      </c>
    </row>
    <row r="787" spans="1:17" x14ac:dyDescent="0.3">
      <c r="A787" s="6" t="s">
        <v>2885</v>
      </c>
      <c r="B787" s="5" t="s">
        <v>2090</v>
      </c>
      <c r="C787" s="4" t="s">
        <v>873</v>
      </c>
      <c r="D787" s="4" t="s">
        <v>1871</v>
      </c>
      <c r="N787" s="5">
        <v>2</v>
      </c>
      <c r="Q787" s="5" t="str">
        <f>"6281022183320"</f>
        <v>6281022183320</v>
      </c>
    </row>
    <row r="788" spans="1:17" x14ac:dyDescent="0.3">
      <c r="A788" s="6" t="s">
        <v>2886</v>
      </c>
      <c r="B788" s="5" t="s">
        <v>2090</v>
      </c>
      <c r="C788" s="4" t="s">
        <v>874</v>
      </c>
      <c r="D788" s="4" t="s">
        <v>1872</v>
      </c>
      <c r="N788" s="5">
        <v>20</v>
      </c>
      <c r="Q788" s="5" t="str">
        <f>"6253012900521"</f>
        <v>6253012900521</v>
      </c>
    </row>
    <row r="789" spans="1:17" x14ac:dyDescent="0.3">
      <c r="A789" s="6" t="s">
        <v>2887</v>
      </c>
      <c r="B789" s="5" t="s">
        <v>2090</v>
      </c>
      <c r="C789" s="4" t="s">
        <v>875</v>
      </c>
      <c r="D789" s="4" t="s">
        <v>1873</v>
      </c>
      <c r="N789" s="5">
        <v>48</v>
      </c>
      <c r="Q789" s="5" t="str">
        <f>"6281007037648"</f>
        <v>6281007037648</v>
      </c>
    </row>
    <row r="790" spans="1:17" x14ac:dyDescent="0.3">
      <c r="A790" s="6" t="s">
        <v>2888</v>
      </c>
      <c r="B790" s="5" t="s">
        <v>2090</v>
      </c>
      <c r="C790" s="4" t="s">
        <v>876</v>
      </c>
      <c r="D790" s="4" t="s">
        <v>1874</v>
      </c>
      <c r="N790" s="5">
        <v>4.95</v>
      </c>
      <c r="Q790" s="5" t="str">
        <f>"6281048105580"</f>
        <v>6281048105580</v>
      </c>
    </row>
    <row r="791" spans="1:17" x14ac:dyDescent="0.3">
      <c r="A791" s="6" t="s">
        <v>2889</v>
      </c>
      <c r="B791" s="5" t="s">
        <v>2090</v>
      </c>
      <c r="C791" s="4" t="s">
        <v>877</v>
      </c>
      <c r="D791" s="4" t="s">
        <v>1875</v>
      </c>
      <c r="N791" s="5">
        <v>2.25</v>
      </c>
      <c r="Q791" s="5" t="str">
        <f>"6281022115710"</f>
        <v>6281022115710</v>
      </c>
    </row>
    <row r="792" spans="1:17" x14ac:dyDescent="0.3">
      <c r="A792" s="6" t="s">
        <v>2890</v>
      </c>
      <c r="B792" s="5" t="s">
        <v>2090</v>
      </c>
      <c r="C792" s="4" t="s">
        <v>878</v>
      </c>
      <c r="D792" s="4" t="s">
        <v>1876</v>
      </c>
      <c r="N792" s="5">
        <v>8.25</v>
      </c>
      <c r="Q792" s="5" t="str">
        <f>"6281020174900"</f>
        <v>6281020174900</v>
      </c>
    </row>
    <row r="793" spans="1:17" x14ac:dyDescent="0.3">
      <c r="A793" s="6" t="s">
        <v>2891</v>
      </c>
      <c r="B793" s="5" t="s">
        <v>2090</v>
      </c>
      <c r="C793" s="4" t="s">
        <v>879</v>
      </c>
      <c r="D793" s="4" t="s">
        <v>1877</v>
      </c>
      <c r="N793" s="5">
        <v>37.25</v>
      </c>
      <c r="Q793" s="5" t="str">
        <f>"6281022153354"</f>
        <v>6281022153354</v>
      </c>
    </row>
    <row r="794" spans="1:17" x14ac:dyDescent="0.3">
      <c r="A794" s="6" t="s">
        <v>2892</v>
      </c>
      <c r="B794" s="5" t="s">
        <v>2090</v>
      </c>
      <c r="C794" s="4" t="s">
        <v>880</v>
      </c>
      <c r="D794" s="4" t="s">
        <v>1878</v>
      </c>
      <c r="N794" s="5">
        <v>19</v>
      </c>
      <c r="Q794" s="5" t="str">
        <f>"6281057050086"</f>
        <v>6281057050086</v>
      </c>
    </row>
    <row r="795" spans="1:17" x14ac:dyDescent="0.3">
      <c r="A795" s="6" t="s">
        <v>2893</v>
      </c>
      <c r="B795" s="5" t="s">
        <v>2090</v>
      </c>
      <c r="C795" s="4" t="s">
        <v>881</v>
      </c>
      <c r="D795" s="4" t="s">
        <v>1879</v>
      </c>
      <c r="N795" s="5">
        <v>4</v>
      </c>
      <c r="Q795" s="5" t="str">
        <f>"6281022160659"</f>
        <v>6281022160659</v>
      </c>
    </row>
    <row r="796" spans="1:17" x14ac:dyDescent="0.3">
      <c r="A796" s="6" t="s">
        <v>2894</v>
      </c>
      <c r="B796" s="5" t="s">
        <v>2090</v>
      </c>
      <c r="C796" s="4" t="s">
        <v>882</v>
      </c>
      <c r="D796" s="4" t="s">
        <v>1880</v>
      </c>
      <c r="N796" s="5">
        <v>26.95</v>
      </c>
      <c r="Q796" s="5" t="str">
        <f>"5411188140863"</f>
        <v>5411188140863</v>
      </c>
    </row>
    <row r="797" spans="1:17" x14ac:dyDescent="0.3">
      <c r="A797" s="6" t="s">
        <v>2895</v>
      </c>
      <c r="B797" s="5" t="s">
        <v>2090</v>
      </c>
      <c r="C797" s="4" t="s">
        <v>883</v>
      </c>
      <c r="D797" s="4" t="s">
        <v>1881</v>
      </c>
      <c r="N797" s="5">
        <v>5</v>
      </c>
      <c r="Q797" s="5" t="str">
        <f>"6281018120865"</f>
        <v>6281018120865</v>
      </c>
    </row>
    <row r="798" spans="1:17" x14ac:dyDescent="0.3">
      <c r="A798" s="6" t="s">
        <v>2896</v>
      </c>
      <c r="B798" s="5" t="s">
        <v>2090</v>
      </c>
      <c r="C798" s="4" t="s">
        <v>884</v>
      </c>
      <c r="D798" s="4" t="s">
        <v>1882</v>
      </c>
      <c r="N798" s="5">
        <v>3.25</v>
      </c>
      <c r="Q798" s="5" t="str">
        <f>"6281022114089"</f>
        <v>6281022114089</v>
      </c>
    </row>
    <row r="799" spans="1:17" x14ac:dyDescent="0.3">
      <c r="A799" s="6" t="s">
        <v>2897</v>
      </c>
      <c r="B799" s="5" t="s">
        <v>2090</v>
      </c>
      <c r="C799" s="4" t="s">
        <v>885</v>
      </c>
      <c r="D799" s="4" t="s">
        <v>1883</v>
      </c>
      <c r="N799" s="5">
        <v>39.950000000000003</v>
      </c>
      <c r="Q799" s="5" t="str">
        <f>"2144141000005"</f>
        <v>2144141000005</v>
      </c>
    </row>
    <row r="800" spans="1:17" x14ac:dyDescent="0.3">
      <c r="A800" s="6" t="s">
        <v>2898</v>
      </c>
      <c r="B800" s="5" t="s">
        <v>2090</v>
      </c>
      <c r="C800" s="4" t="s">
        <v>886</v>
      </c>
      <c r="D800" s="4" t="s">
        <v>1884</v>
      </c>
      <c r="N800" s="5">
        <v>6.75</v>
      </c>
      <c r="Q800" s="5" t="str">
        <f>"5711953175978"</f>
        <v>5711953175978</v>
      </c>
    </row>
    <row r="801" spans="1:17" x14ac:dyDescent="0.3">
      <c r="A801" s="6" t="s">
        <v>2899</v>
      </c>
      <c r="B801" s="5" t="s">
        <v>2090</v>
      </c>
      <c r="C801" s="4" t="s">
        <v>887</v>
      </c>
      <c r="D801" s="4" t="s">
        <v>1885</v>
      </c>
      <c r="N801" s="5">
        <v>1.25</v>
      </c>
      <c r="Q801" s="5" t="str">
        <f>"6281039172515"</f>
        <v>6281039172515</v>
      </c>
    </row>
    <row r="802" spans="1:17" x14ac:dyDescent="0.3">
      <c r="A802" s="6" t="s">
        <v>2900</v>
      </c>
      <c r="B802" s="5" t="s">
        <v>2090</v>
      </c>
      <c r="C802" s="4" t="s">
        <v>888</v>
      </c>
      <c r="D802" s="4" t="s">
        <v>1886</v>
      </c>
      <c r="N802" s="5">
        <v>3</v>
      </c>
      <c r="Q802" s="5" t="str">
        <f>"6281057002719"</f>
        <v>6281057002719</v>
      </c>
    </row>
    <row r="803" spans="1:17" x14ac:dyDescent="0.3">
      <c r="A803" s="6" t="s">
        <v>2901</v>
      </c>
      <c r="B803" s="5" t="s">
        <v>2090</v>
      </c>
      <c r="C803" s="4" t="s">
        <v>889</v>
      </c>
      <c r="D803" s="4" t="s">
        <v>1887</v>
      </c>
      <c r="N803" s="5">
        <v>1.5</v>
      </c>
      <c r="Q803" s="5" t="str">
        <f>"6281022183412"</f>
        <v>6281022183412</v>
      </c>
    </row>
    <row r="804" spans="1:17" x14ac:dyDescent="0.3">
      <c r="A804" s="6" t="s">
        <v>2902</v>
      </c>
      <c r="B804" s="5" t="s">
        <v>2090</v>
      </c>
      <c r="C804" s="4" t="s">
        <v>890</v>
      </c>
      <c r="D804" s="4" t="s">
        <v>1888</v>
      </c>
      <c r="N804" s="5">
        <v>36</v>
      </c>
      <c r="Q804" s="5" t="str">
        <f>"6281026121014"</f>
        <v>6281026121014</v>
      </c>
    </row>
    <row r="805" spans="1:17" x14ac:dyDescent="0.3">
      <c r="A805" s="6" t="s">
        <v>2903</v>
      </c>
      <c r="B805" s="5" t="s">
        <v>2090</v>
      </c>
      <c r="C805" s="4" t="s">
        <v>891</v>
      </c>
      <c r="D805" s="4" t="s">
        <v>1889</v>
      </c>
      <c r="N805" s="5">
        <v>44.25</v>
      </c>
      <c r="Q805" s="5" t="str">
        <f>"8901262010023"</f>
        <v>8901262010023</v>
      </c>
    </row>
    <row r="806" spans="1:17" x14ac:dyDescent="0.3">
      <c r="A806" s="6" t="s">
        <v>2904</v>
      </c>
      <c r="B806" s="5" t="s">
        <v>2090</v>
      </c>
      <c r="C806" s="4" t="s">
        <v>892</v>
      </c>
      <c r="D806" s="4" t="s">
        <v>1890</v>
      </c>
      <c r="N806" s="5">
        <v>2</v>
      </c>
      <c r="Q806" s="5" t="str">
        <f>"6281057001064"</f>
        <v>6281057001064</v>
      </c>
    </row>
    <row r="807" spans="1:17" x14ac:dyDescent="0.3">
      <c r="A807" s="6" t="s">
        <v>2905</v>
      </c>
      <c r="B807" s="5" t="s">
        <v>2090</v>
      </c>
      <c r="C807" s="4" t="s">
        <v>893</v>
      </c>
      <c r="D807" s="4" t="s">
        <v>1891</v>
      </c>
      <c r="N807" s="5">
        <v>17.25</v>
      </c>
      <c r="Q807" s="5" t="str">
        <f>"6287004520411"</f>
        <v>6287004520411</v>
      </c>
    </row>
    <row r="808" spans="1:17" x14ac:dyDescent="0.3">
      <c r="A808" s="6" t="s">
        <v>2906</v>
      </c>
      <c r="B808" s="5" t="s">
        <v>2090</v>
      </c>
      <c r="C808" s="4" t="s">
        <v>894</v>
      </c>
      <c r="D808" s="4" t="s">
        <v>1892</v>
      </c>
      <c r="N808" s="5">
        <v>20.95</v>
      </c>
      <c r="Q808" s="5" t="str">
        <f>"2146257000009"</f>
        <v>2146257000009</v>
      </c>
    </row>
    <row r="809" spans="1:17" x14ac:dyDescent="0.3">
      <c r="A809" s="6" t="s">
        <v>2907</v>
      </c>
      <c r="B809" s="5" t="s">
        <v>2090</v>
      </c>
      <c r="C809" s="4" t="s">
        <v>895</v>
      </c>
      <c r="D809" s="4" t="s">
        <v>1893</v>
      </c>
      <c r="N809" s="5">
        <v>20.95</v>
      </c>
      <c r="Q809" s="5" t="str">
        <f>"7340001804225"</f>
        <v>7340001804225</v>
      </c>
    </row>
    <row r="810" spans="1:17" x14ac:dyDescent="0.3">
      <c r="A810" s="6" t="s">
        <v>2908</v>
      </c>
      <c r="B810" s="5" t="s">
        <v>2090</v>
      </c>
      <c r="C810" s="4" t="s">
        <v>896</v>
      </c>
      <c r="D810" s="4" t="s">
        <v>1894</v>
      </c>
      <c r="N810" s="5">
        <v>3.25</v>
      </c>
      <c r="Q810" s="5" t="str">
        <f>"6281022114096"</f>
        <v>6281022114096</v>
      </c>
    </row>
    <row r="811" spans="1:17" x14ac:dyDescent="0.3">
      <c r="A811" s="6" t="s">
        <v>2909</v>
      </c>
      <c r="B811" s="5" t="s">
        <v>2090</v>
      </c>
      <c r="C811" s="4" t="s">
        <v>897</v>
      </c>
      <c r="D811" s="4" t="s">
        <v>1895</v>
      </c>
      <c r="N811" s="5">
        <v>7.25</v>
      </c>
      <c r="Q811" s="5" t="str">
        <f>"6297001083727"</f>
        <v>6297001083727</v>
      </c>
    </row>
    <row r="812" spans="1:17" x14ac:dyDescent="0.3">
      <c r="A812" s="6" t="s">
        <v>2910</v>
      </c>
      <c r="B812" s="5" t="s">
        <v>2090</v>
      </c>
      <c r="C812" s="4" t="s">
        <v>898</v>
      </c>
      <c r="D812" s="4" t="s">
        <v>1896</v>
      </c>
      <c r="N812" s="5">
        <v>1.95</v>
      </c>
      <c r="Q812" s="5" t="str">
        <f>"6223000754603"</f>
        <v>6223000754603</v>
      </c>
    </row>
    <row r="813" spans="1:17" x14ac:dyDescent="0.3">
      <c r="A813" s="6" t="s">
        <v>2911</v>
      </c>
      <c r="B813" s="5" t="s">
        <v>2090</v>
      </c>
      <c r="C813" s="4" t="s">
        <v>899</v>
      </c>
      <c r="D813" s="4" t="s">
        <v>1897</v>
      </c>
      <c r="N813" s="5">
        <v>31.25</v>
      </c>
      <c r="Q813" s="5" t="str">
        <f>"8002710412007"</f>
        <v>8002710412007</v>
      </c>
    </row>
    <row r="814" spans="1:17" x14ac:dyDescent="0.3">
      <c r="A814" s="6" t="s">
        <v>2912</v>
      </c>
      <c r="B814" s="5" t="s">
        <v>2090</v>
      </c>
      <c r="C814" s="4" t="s">
        <v>900</v>
      </c>
      <c r="D814" s="4" t="s">
        <v>1898</v>
      </c>
      <c r="N814" s="5">
        <v>6.75</v>
      </c>
      <c r="Q814" s="5" t="str">
        <f>"5711953175992"</f>
        <v>5711953175992</v>
      </c>
    </row>
    <row r="815" spans="1:17" x14ac:dyDescent="0.3">
      <c r="A815" s="6" t="s">
        <v>2913</v>
      </c>
      <c r="B815" s="5" t="s">
        <v>2090</v>
      </c>
      <c r="C815" s="4" t="s">
        <v>901</v>
      </c>
      <c r="D815" s="4" t="s">
        <v>1899</v>
      </c>
      <c r="N815" s="5">
        <v>2</v>
      </c>
      <c r="Q815" s="5" t="str">
        <f>"6281018130154"</f>
        <v>6281018130154</v>
      </c>
    </row>
    <row r="816" spans="1:17" x14ac:dyDescent="0.3">
      <c r="A816" s="6" t="s">
        <v>2914</v>
      </c>
      <c r="B816" s="5" t="s">
        <v>2090</v>
      </c>
      <c r="C816" s="4" t="s">
        <v>902</v>
      </c>
      <c r="D816" s="4" t="s">
        <v>1900</v>
      </c>
      <c r="N816" s="5">
        <v>3.5</v>
      </c>
      <c r="Q816" s="5" t="str">
        <f>"6281007032544"</f>
        <v>6281007032544</v>
      </c>
    </row>
    <row r="817" spans="1:17" x14ac:dyDescent="0.3">
      <c r="A817" s="6" t="s">
        <v>2915</v>
      </c>
      <c r="B817" s="5" t="s">
        <v>2090</v>
      </c>
      <c r="C817" s="4" t="s">
        <v>903</v>
      </c>
      <c r="D817" s="4" t="s">
        <v>1901</v>
      </c>
      <c r="N817" s="5">
        <v>11.75</v>
      </c>
      <c r="Q817" s="5" t="str">
        <f>"6281007167826"</f>
        <v>6281007167826</v>
      </c>
    </row>
    <row r="818" spans="1:17" x14ac:dyDescent="0.3">
      <c r="A818" s="6" t="s">
        <v>2916</v>
      </c>
      <c r="B818" s="5" t="s">
        <v>2090</v>
      </c>
      <c r="C818" s="4" t="s">
        <v>904</v>
      </c>
      <c r="D818" s="4" t="s">
        <v>1902</v>
      </c>
      <c r="N818" s="5">
        <v>17.5</v>
      </c>
      <c r="Q818" s="5" t="str">
        <f>"5202390021404"</f>
        <v>5202390021404</v>
      </c>
    </row>
    <row r="819" spans="1:17" x14ac:dyDescent="0.3">
      <c r="A819" s="6" t="s">
        <v>2917</v>
      </c>
      <c r="B819" s="5" t="s">
        <v>2090</v>
      </c>
      <c r="C819" s="4" t="s">
        <v>905</v>
      </c>
      <c r="D819" s="4" t="s">
        <v>1903</v>
      </c>
      <c r="N819" s="5">
        <v>2.5</v>
      </c>
      <c r="Q819" s="5" t="str">
        <f>"6281007064729"</f>
        <v>6281007064729</v>
      </c>
    </row>
    <row r="820" spans="1:17" x14ac:dyDescent="0.3">
      <c r="A820" s="6" t="s">
        <v>2918</v>
      </c>
      <c r="B820" s="5" t="s">
        <v>2090</v>
      </c>
      <c r="C820" s="4" t="s">
        <v>906</v>
      </c>
      <c r="D820" s="4" t="s">
        <v>1904</v>
      </c>
      <c r="N820" s="5">
        <v>16.75</v>
      </c>
      <c r="Q820" s="5" t="str">
        <f>"6285835000720"</f>
        <v>6285835000720</v>
      </c>
    </row>
    <row r="821" spans="1:17" x14ac:dyDescent="0.3">
      <c r="A821" s="6" t="s">
        <v>2919</v>
      </c>
      <c r="B821" s="5" t="s">
        <v>2090</v>
      </c>
      <c r="C821" s="4" t="s">
        <v>907</v>
      </c>
      <c r="D821" s="4" t="s">
        <v>1905</v>
      </c>
      <c r="N821" s="5">
        <v>15.5</v>
      </c>
      <c r="Q821" s="5" t="str">
        <f>"6281020301139"</f>
        <v>6281020301139</v>
      </c>
    </row>
    <row r="822" spans="1:17" x14ac:dyDescent="0.3">
      <c r="A822" s="6" t="s">
        <v>2920</v>
      </c>
      <c r="B822" s="5" t="s">
        <v>2090</v>
      </c>
      <c r="C822" s="4" t="s">
        <v>908</v>
      </c>
      <c r="D822" s="4" t="s">
        <v>1906</v>
      </c>
      <c r="N822" s="5">
        <v>6.75</v>
      </c>
      <c r="Q822" s="5" t="str">
        <f>"5711953175954"</f>
        <v>5711953175954</v>
      </c>
    </row>
    <row r="823" spans="1:17" x14ac:dyDescent="0.3">
      <c r="A823" s="6" t="s">
        <v>2921</v>
      </c>
      <c r="B823" s="5" t="s">
        <v>2090</v>
      </c>
      <c r="C823" s="4" t="s">
        <v>909</v>
      </c>
      <c r="D823" s="4" t="s">
        <v>1907</v>
      </c>
      <c r="N823" s="5">
        <v>20.75</v>
      </c>
      <c r="Q823" s="5" t="str">
        <f>"8680171930867"</f>
        <v>8680171930867</v>
      </c>
    </row>
    <row r="824" spans="1:17" x14ac:dyDescent="0.3">
      <c r="A824" s="6" t="s">
        <v>2922</v>
      </c>
      <c r="B824" s="5" t="s">
        <v>2090</v>
      </c>
      <c r="C824" s="4" t="s">
        <v>910</v>
      </c>
      <c r="D824" s="4" t="s">
        <v>1908</v>
      </c>
      <c r="N824" s="5">
        <v>26.75</v>
      </c>
      <c r="Q824" s="5" t="str">
        <f>"8719200284661"</f>
        <v>8719200284661</v>
      </c>
    </row>
    <row r="825" spans="1:17" x14ac:dyDescent="0.3">
      <c r="A825" s="6" t="s">
        <v>2923</v>
      </c>
      <c r="B825" s="5" t="s">
        <v>2090</v>
      </c>
      <c r="C825" s="4" t="s">
        <v>911</v>
      </c>
      <c r="D825" s="4" t="s">
        <v>1909</v>
      </c>
      <c r="N825" s="5">
        <v>30.5</v>
      </c>
      <c r="Q825" s="5" t="str">
        <f>"6281007025836"</f>
        <v>6281007025836</v>
      </c>
    </row>
    <row r="826" spans="1:17" x14ac:dyDescent="0.3">
      <c r="A826" s="6" t="s">
        <v>2924</v>
      </c>
      <c r="B826" s="5" t="s">
        <v>2090</v>
      </c>
      <c r="C826" s="4" t="s">
        <v>912</v>
      </c>
      <c r="D826" s="4" t="s">
        <v>1910</v>
      </c>
      <c r="N826" s="5">
        <v>20.25</v>
      </c>
      <c r="Q826" s="5" t="str">
        <f>"8001860251085"</f>
        <v>8001860251085</v>
      </c>
    </row>
    <row r="827" spans="1:17" x14ac:dyDescent="0.3">
      <c r="A827" s="6" t="s">
        <v>2925</v>
      </c>
      <c r="B827" s="5" t="s">
        <v>2090</v>
      </c>
      <c r="C827" s="4" t="s">
        <v>913</v>
      </c>
      <c r="D827" s="4" t="s">
        <v>1911</v>
      </c>
      <c r="N827" s="5">
        <v>15.5</v>
      </c>
      <c r="Q827" s="5" t="str">
        <f>"8719200269415"</f>
        <v>8719200269415</v>
      </c>
    </row>
    <row r="828" spans="1:17" x14ac:dyDescent="0.3">
      <c r="A828" s="6" t="s">
        <v>2926</v>
      </c>
      <c r="B828" s="5" t="s">
        <v>2090</v>
      </c>
      <c r="C828" s="4" t="s">
        <v>914</v>
      </c>
      <c r="D828" s="4" t="s">
        <v>1912</v>
      </c>
      <c r="N828" s="5">
        <v>19.75</v>
      </c>
      <c r="Q828" s="5" t="str">
        <f>"6253012912883"</f>
        <v>6253012912883</v>
      </c>
    </row>
    <row r="829" spans="1:17" x14ac:dyDescent="0.3">
      <c r="A829" s="6" t="s">
        <v>2927</v>
      </c>
      <c r="B829" s="5" t="s">
        <v>2090</v>
      </c>
      <c r="C829" s="4" t="s">
        <v>915</v>
      </c>
      <c r="D829" s="4" t="s">
        <v>1913</v>
      </c>
      <c r="N829" s="5">
        <v>2</v>
      </c>
      <c r="Q829" s="5" t="str">
        <f>"6281057002474"</f>
        <v>6281057002474</v>
      </c>
    </row>
    <row r="830" spans="1:17" x14ac:dyDescent="0.3">
      <c r="A830" s="6" t="s">
        <v>2928</v>
      </c>
      <c r="B830" s="5" t="s">
        <v>2090</v>
      </c>
      <c r="C830" s="4" t="s">
        <v>916</v>
      </c>
      <c r="D830" s="4" t="s">
        <v>1914</v>
      </c>
      <c r="N830" s="5">
        <v>46.25</v>
      </c>
      <c r="Q830" s="5" t="str">
        <f>"6281039162035"</f>
        <v>6281039162035</v>
      </c>
    </row>
    <row r="831" spans="1:17" x14ac:dyDescent="0.3">
      <c r="A831" s="6" t="s">
        <v>2929</v>
      </c>
      <c r="B831" s="5" t="s">
        <v>2090</v>
      </c>
      <c r="C831" s="4" t="s">
        <v>917</v>
      </c>
      <c r="D831" s="4" t="s">
        <v>1915</v>
      </c>
      <c r="N831" s="5">
        <v>1.25</v>
      </c>
      <c r="Q831" s="5" t="str">
        <f>"6281018316190"</f>
        <v>6281018316190</v>
      </c>
    </row>
    <row r="832" spans="1:17" x14ac:dyDescent="0.3">
      <c r="A832" s="6" t="s">
        <v>2930</v>
      </c>
      <c r="B832" s="5" t="s">
        <v>2090</v>
      </c>
      <c r="C832" s="4" t="s">
        <v>918</v>
      </c>
      <c r="D832" s="4" t="s">
        <v>1916</v>
      </c>
      <c r="N832" s="5">
        <v>48.75</v>
      </c>
      <c r="Q832" s="5" t="str">
        <f>"6281100500636"</f>
        <v>6281100500636</v>
      </c>
    </row>
    <row r="833" spans="1:17" x14ac:dyDescent="0.3">
      <c r="A833" s="6" t="s">
        <v>2931</v>
      </c>
      <c r="B833" s="5" t="s">
        <v>2090</v>
      </c>
      <c r="C833" s="4" t="s">
        <v>919</v>
      </c>
      <c r="D833" s="4" t="s">
        <v>1917</v>
      </c>
      <c r="N833" s="5">
        <v>9.25</v>
      </c>
      <c r="Q833" s="5" t="str">
        <f>"6281057050024"</f>
        <v>6281057050024</v>
      </c>
    </row>
    <row r="834" spans="1:17" x14ac:dyDescent="0.3">
      <c r="A834" s="6" t="s">
        <v>2932</v>
      </c>
      <c r="B834" s="5" t="s">
        <v>2090</v>
      </c>
      <c r="C834" s="4" t="s">
        <v>920</v>
      </c>
      <c r="D834" s="4" t="s">
        <v>1918</v>
      </c>
      <c r="N834" s="5">
        <v>3</v>
      </c>
      <c r="Q834" s="5" t="str">
        <f>"6281057005437"</f>
        <v>6281057005437</v>
      </c>
    </row>
    <row r="835" spans="1:17" x14ac:dyDescent="0.3">
      <c r="A835" s="6" t="s">
        <v>2933</v>
      </c>
      <c r="B835" s="5" t="s">
        <v>2090</v>
      </c>
      <c r="C835" s="4" t="s">
        <v>921</v>
      </c>
      <c r="D835" s="4" t="s">
        <v>1919</v>
      </c>
      <c r="N835" s="5">
        <v>29.95</v>
      </c>
      <c r="Q835" s="5" t="str">
        <f>"6295199281734"</f>
        <v>6295199281734</v>
      </c>
    </row>
    <row r="836" spans="1:17" x14ac:dyDescent="0.3">
      <c r="A836" s="6" t="s">
        <v>2934</v>
      </c>
      <c r="B836" s="5" t="s">
        <v>2090</v>
      </c>
      <c r="C836" s="4" t="s">
        <v>922</v>
      </c>
      <c r="D836" s="4" t="s">
        <v>1920</v>
      </c>
      <c r="N836" s="5">
        <v>1.25</v>
      </c>
      <c r="Q836" s="5" t="str">
        <f>"6281026121366"</f>
        <v>6281026121366</v>
      </c>
    </row>
    <row r="837" spans="1:17" x14ac:dyDescent="0.3">
      <c r="A837" s="6" t="s">
        <v>2935</v>
      </c>
      <c r="B837" s="5" t="s">
        <v>2090</v>
      </c>
      <c r="C837" s="4" t="s">
        <v>923</v>
      </c>
      <c r="D837" s="4" t="s">
        <v>1921</v>
      </c>
      <c r="N837" s="5">
        <v>3.45</v>
      </c>
      <c r="Q837" s="5" t="str">
        <f>"6285835000706"</f>
        <v>6285835000706</v>
      </c>
    </row>
    <row r="838" spans="1:17" x14ac:dyDescent="0.3">
      <c r="A838" s="6" t="s">
        <v>2936</v>
      </c>
      <c r="B838" s="5" t="s">
        <v>2090</v>
      </c>
      <c r="C838" s="4" t="s">
        <v>924</v>
      </c>
      <c r="D838" s="4" t="s">
        <v>1922</v>
      </c>
      <c r="N838" s="5">
        <v>44.5</v>
      </c>
      <c r="Q838" s="5" t="str">
        <f>"6281100500193"</f>
        <v>6281100500193</v>
      </c>
    </row>
    <row r="839" spans="1:17" x14ac:dyDescent="0.3">
      <c r="A839" s="6" t="s">
        <v>2937</v>
      </c>
      <c r="B839" s="5" t="s">
        <v>2090</v>
      </c>
      <c r="C839" s="4" t="s">
        <v>925</v>
      </c>
      <c r="D839" s="4" t="s">
        <v>1923</v>
      </c>
      <c r="N839" s="5">
        <v>10.25</v>
      </c>
      <c r="Q839" s="5" t="str">
        <f>"6281100174158"</f>
        <v>6281100174158</v>
      </c>
    </row>
    <row r="840" spans="1:17" x14ac:dyDescent="0.3">
      <c r="A840" s="6" t="s">
        <v>2938</v>
      </c>
      <c r="B840" s="5" t="s">
        <v>2090</v>
      </c>
      <c r="C840" s="4" t="s">
        <v>926</v>
      </c>
      <c r="D840" s="4" t="s">
        <v>1924</v>
      </c>
      <c r="N840" s="5">
        <v>7.95</v>
      </c>
      <c r="Q840" s="5" t="str">
        <f>"6281057015962"</f>
        <v>6281057015962</v>
      </c>
    </row>
    <row r="841" spans="1:17" x14ac:dyDescent="0.3">
      <c r="A841" s="6" t="s">
        <v>2939</v>
      </c>
      <c r="B841" s="5" t="s">
        <v>2090</v>
      </c>
      <c r="C841" s="4" t="s">
        <v>927</v>
      </c>
      <c r="D841" s="4" t="s">
        <v>1925</v>
      </c>
      <c r="N841" s="5">
        <v>1.5</v>
      </c>
      <c r="Q841" s="5" t="str">
        <f>"6281022183382"</f>
        <v>6281022183382</v>
      </c>
    </row>
    <row r="842" spans="1:17" x14ac:dyDescent="0.3">
      <c r="A842" s="6" t="s">
        <v>2940</v>
      </c>
      <c r="B842" s="5" t="s">
        <v>2090</v>
      </c>
      <c r="C842" s="4" t="s">
        <v>928</v>
      </c>
      <c r="D842" s="4" t="s">
        <v>1926</v>
      </c>
      <c r="N842" s="5">
        <v>28</v>
      </c>
      <c r="Q842" s="5" t="str">
        <f>"6281022153408"</f>
        <v>6281022153408</v>
      </c>
    </row>
    <row r="843" spans="1:17" x14ac:dyDescent="0.3">
      <c r="A843" s="6" t="s">
        <v>2941</v>
      </c>
      <c r="B843" s="5" t="s">
        <v>2090</v>
      </c>
      <c r="C843" s="4" t="s">
        <v>929</v>
      </c>
      <c r="D843" s="4" t="s">
        <v>1927</v>
      </c>
      <c r="N843" s="5">
        <v>2.5</v>
      </c>
      <c r="Q843" s="5" t="str">
        <f>"6281039173512"</f>
        <v>6281039173512</v>
      </c>
    </row>
    <row r="844" spans="1:17" x14ac:dyDescent="0.3">
      <c r="A844" s="6" t="s">
        <v>2942</v>
      </c>
      <c r="B844" s="5" t="s">
        <v>2090</v>
      </c>
      <c r="C844" s="4" t="s">
        <v>930</v>
      </c>
      <c r="D844" s="4" t="s">
        <v>1928</v>
      </c>
      <c r="N844" s="5">
        <v>1.5</v>
      </c>
      <c r="Q844" s="5" t="str">
        <f>"6281007038980"</f>
        <v>6281007038980</v>
      </c>
    </row>
    <row r="845" spans="1:17" x14ac:dyDescent="0.3">
      <c r="A845" s="6" t="s">
        <v>2943</v>
      </c>
      <c r="B845" s="5" t="s">
        <v>2090</v>
      </c>
      <c r="C845" s="4" t="s">
        <v>931</v>
      </c>
      <c r="D845" s="4" t="s">
        <v>1929</v>
      </c>
      <c r="N845" s="5">
        <v>4</v>
      </c>
      <c r="Q845" s="5" t="str">
        <f>"87295610"</f>
        <v>87295610</v>
      </c>
    </row>
    <row r="846" spans="1:17" x14ac:dyDescent="0.3">
      <c r="A846" s="6" t="s">
        <v>2944</v>
      </c>
      <c r="B846" s="5" t="s">
        <v>2090</v>
      </c>
      <c r="C846" s="4" t="s">
        <v>932</v>
      </c>
      <c r="D846" s="4" t="s">
        <v>1930</v>
      </c>
      <c r="N846" s="5">
        <v>34.5</v>
      </c>
      <c r="Q846" s="5" t="str">
        <f>"5011056022552"</f>
        <v>5011056022552</v>
      </c>
    </row>
    <row r="847" spans="1:17" x14ac:dyDescent="0.3">
      <c r="A847" s="6" t="s">
        <v>2945</v>
      </c>
      <c r="B847" s="5" t="s">
        <v>2090</v>
      </c>
      <c r="C847" s="4" t="s">
        <v>933</v>
      </c>
      <c r="D847" s="4" t="s">
        <v>1931</v>
      </c>
      <c r="N847" s="5">
        <v>5.5</v>
      </c>
      <c r="Q847" s="5" t="str">
        <f>"6281020173026"</f>
        <v>6281020173026</v>
      </c>
    </row>
    <row r="848" spans="1:17" x14ac:dyDescent="0.3">
      <c r="A848" s="6" t="s">
        <v>2946</v>
      </c>
      <c r="B848" s="5" t="s">
        <v>2090</v>
      </c>
      <c r="C848" s="4" t="s">
        <v>934</v>
      </c>
      <c r="D848" s="4" t="s">
        <v>1932</v>
      </c>
      <c r="N848" s="5">
        <v>3.5</v>
      </c>
      <c r="Q848" s="5" t="str">
        <f>"6281007036092"</f>
        <v>6281007036092</v>
      </c>
    </row>
    <row r="849" spans="1:17" x14ac:dyDescent="0.3">
      <c r="A849" s="6" t="s">
        <v>2947</v>
      </c>
      <c r="B849" s="5" t="s">
        <v>2090</v>
      </c>
      <c r="C849" s="4" t="s">
        <v>935</v>
      </c>
      <c r="D849" s="4" t="s">
        <v>1933</v>
      </c>
      <c r="N849" s="5">
        <v>49.95</v>
      </c>
      <c r="Q849" s="5" t="str">
        <f>"2144803000008"</f>
        <v>2144803000008</v>
      </c>
    </row>
    <row r="850" spans="1:17" x14ac:dyDescent="0.3">
      <c r="A850" s="6" t="s">
        <v>2948</v>
      </c>
      <c r="B850" s="5" t="s">
        <v>2090</v>
      </c>
      <c r="C850" s="4" t="s">
        <v>936</v>
      </c>
      <c r="D850" s="4" t="s">
        <v>1934</v>
      </c>
      <c r="N850" s="5">
        <v>41.95</v>
      </c>
      <c r="Q850" s="5" t="str">
        <f>"6295199281680"</f>
        <v>6295199281680</v>
      </c>
    </row>
    <row r="851" spans="1:17" x14ac:dyDescent="0.3">
      <c r="A851" s="6" t="s">
        <v>2949</v>
      </c>
      <c r="B851" s="5" t="s">
        <v>2090</v>
      </c>
      <c r="C851" s="4" t="s">
        <v>937</v>
      </c>
      <c r="D851" s="4" t="s">
        <v>1935</v>
      </c>
      <c r="N851" s="5">
        <v>25.5</v>
      </c>
      <c r="Q851" s="5" t="str">
        <f>"6281057500062"</f>
        <v>6281057500062</v>
      </c>
    </row>
    <row r="852" spans="1:17" x14ac:dyDescent="0.3">
      <c r="A852" s="6" t="s">
        <v>2950</v>
      </c>
      <c r="B852" s="5" t="s">
        <v>2090</v>
      </c>
      <c r="C852" s="4" t="s">
        <v>938</v>
      </c>
      <c r="D852" s="4" t="s">
        <v>1936</v>
      </c>
      <c r="N852" s="5">
        <v>16.75</v>
      </c>
      <c r="Q852" s="5" t="str">
        <f>"6285835000751"</f>
        <v>6285835000751</v>
      </c>
    </row>
    <row r="853" spans="1:17" x14ac:dyDescent="0.3">
      <c r="A853" s="6" t="s">
        <v>2951</v>
      </c>
      <c r="B853" s="5" t="s">
        <v>2090</v>
      </c>
      <c r="C853" s="4" t="s">
        <v>939</v>
      </c>
      <c r="D853" s="4" t="s">
        <v>1937</v>
      </c>
      <c r="N853" s="5">
        <v>21.75</v>
      </c>
      <c r="Q853" s="5" t="str">
        <f>"6281100503095"</f>
        <v>6281100503095</v>
      </c>
    </row>
    <row r="854" spans="1:17" x14ac:dyDescent="0.3">
      <c r="A854" s="6" t="s">
        <v>2952</v>
      </c>
      <c r="B854" s="5" t="s">
        <v>2090</v>
      </c>
      <c r="C854" s="4" t="s">
        <v>940</v>
      </c>
      <c r="D854" s="4" t="s">
        <v>1938</v>
      </c>
      <c r="N854" s="5">
        <v>3</v>
      </c>
      <c r="Q854" s="5" t="str">
        <f>"6281022115741"</f>
        <v>6281022115741</v>
      </c>
    </row>
    <row r="855" spans="1:17" x14ac:dyDescent="0.3">
      <c r="A855" s="6" t="s">
        <v>2953</v>
      </c>
      <c r="B855" s="5" t="s">
        <v>2090</v>
      </c>
      <c r="C855" s="4" t="s">
        <v>941</v>
      </c>
      <c r="D855" s="4" t="s">
        <v>1939</v>
      </c>
      <c r="N855" s="5">
        <v>2</v>
      </c>
      <c r="Q855" s="5" t="str">
        <f>"6281039163018"</f>
        <v>6281039163018</v>
      </c>
    </row>
    <row r="856" spans="1:17" x14ac:dyDescent="0.3">
      <c r="A856" s="6" t="s">
        <v>2954</v>
      </c>
      <c r="B856" s="5" t="s">
        <v>2090</v>
      </c>
      <c r="C856" s="4" t="s">
        <v>942</v>
      </c>
      <c r="D856" s="4" t="s">
        <v>1940</v>
      </c>
      <c r="N856" s="5">
        <v>19.5</v>
      </c>
      <c r="Q856" s="5" t="str">
        <f>"5202390017049"</f>
        <v>5202390017049</v>
      </c>
    </row>
    <row r="857" spans="1:17" x14ac:dyDescent="0.3">
      <c r="A857" s="6" t="s">
        <v>2955</v>
      </c>
      <c r="B857" s="5" t="s">
        <v>2090</v>
      </c>
      <c r="C857" s="4" t="s">
        <v>943</v>
      </c>
      <c r="D857" s="4" t="s">
        <v>1941</v>
      </c>
      <c r="N857" s="5">
        <v>22.95</v>
      </c>
      <c r="Q857" s="5" t="str">
        <f>"2144801000000"</f>
        <v>2144801000000</v>
      </c>
    </row>
    <row r="858" spans="1:17" x14ac:dyDescent="0.3">
      <c r="A858" s="6" t="s">
        <v>2956</v>
      </c>
      <c r="B858" s="5" t="s">
        <v>2090</v>
      </c>
      <c r="C858" s="4" t="s">
        <v>944</v>
      </c>
      <c r="D858" s="4" t="s">
        <v>1942</v>
      </c>
      <c r="N858" s="5">
        <v>59.95</v>
      </c>
      <c r="Q858" s="5" t="str">
        <f>"2144842000007"</f>
        <v>2144842000007</v>
      </c>
    </row>
    <row r="859" spans="1:17" x14ac:dyDescent="0.3">
      <c r="A859" s="6" t="s">
        <v>2957</v>
      </c>
      <c r="B859" s="5" t="s">
        <v>2090</v>
      </c>
      <c r="C859" s="4" t="s">
        <v>945</v>
      </c>
      <c r="D859" s="4" t="s">
        <v>1943</v>
      </c>
      <c r="N859" s="5">
        <v>55.95</v>
      </c>
      <c r="Q859" s="5" t="str">
        <f>"5016860771009"</f>
        <v>5016860771009</v>
      </c>
    </row>
    <row r="860" spans="1:17" x14ac:dyDescent="0.3">
      <c r="A860" s="6" t="s">
        <v>2958</v>
      </c>
      <c r="B860" s="5" t="s">
        <v>2090</v>
      </c>
      <c r="C860" s="4" t="s">
        <v>946</v>
      </c>
      <c r="D860" s="4" t="s">
        <v>1944</v>
      </c>
      <c r="N860" s="5">
        <v>40</v>
      </c>
      <c r="Q860" s="5" t="str">
        <f>"3073781194739"</f>
        <v>3073781194739</v>
      </c>
    </row>
    <row r="861" spans="1:17" x14ac:dyDescent="0.3">
      <c r="A861" s="6" t="s">
        <v>2959</v>
      </c>
      <c r="B861" s="5" t="s">
        <v>2090</v>
      </c>
      <c r="C861" s="4" t="s">
        <v>947</v>
      </c>
      <c r="D861" s="4" t="s">
        <v>1945</v>
      </c>
      <c r="N861" s="5">
        <v>26.5</v>
      </c>
      <c r="Q861" s="5" t="str">
        <f>"6281100502395"</f>
        <v>6281100502395</v>
      </c>
    </row>
    <row r="862" spans="1:17" x14ac:dyDescent="0.3">
      <c r="A862" s="6" t="s">
        <v>2960</v>
      </c>
      <c r="B862" s="5" t="s">
        <v>2090</v>
      </c>
      <c r="C862" s="4" t="s">
        <v>948</v>
      </c>
      <c r="D862" s="4" t="s">
        <v>1946</v>
      </c>
      <c r="N862" s="5">
        <v>8.5</v>
      </c>
      <c r="Q862" s="5" t="str">
        <f>"6281100503316"</f>
        <v>6281100503316</v>
      </c>
    </row>
    <row r="863" spans="1:17" x14ac:dyDescent="0.3">
      <c r="A863" s="6" t="s">
        <v>2961</v>
      </c>
      <c r="B863" s="5" t="s">
        <v>2090</v>
      </c>
      <c r="C863" s="4" t="s">
        <v>949</v>
      </c>
      <c r="D863" s="4" t="s">
        <v>1947</v>
      </c>
      <c r="N863" s="5">
        <v>1.5</v>
      </c>
      <c r="Q863" s="5" t="str">
        <f>"6271002190110"</f>
        <v>6271002190110</v>
      </c>
    </row>
    <row r="864" spans="1:17" x14ac:dyDescent="0.3">
      <c r="A864" s="6" t="s">
        <v>2962</v>
      </c>
      <c r="B864" s="5" t="s">
        <v>2090</v>
      </c>
      <c r="C864" s="4" t="s">
        <v>950</v>
      </c>
      <c r="D864" s="4" t="s">
        <v>1948</v>
      </c>
      <c r="N864" s="5">
        <v>49.95</v>
      </c>
      <c r="Q864" s="5" t="str">
        <f>"2144807000004"</f>
        <v>2144807000004</v>
      </c>
    </row>
    <row r="865" spans="1:17" x14ac:dyDescent="0.3">
      <c r="A865" s="6" t="s">
        <v>2963</v>
      </c>
      <c r="B865" s="5" t="s">
        <v>2090</v>
      </c>
      <c r="C865" s="4" t="s">
        <v>951</v>
      </c>
      <c r="D865" s="4" t="s">
        <v>1949</v>
      </c>
      <c r="N865" s="5">
        <v>42</v>
      </c>
      <c r="Q865" s="5" t="str">
        <f>"6281024014332"</f>
        <v>6281024014332</v>
      </c>
    </row>
    <row r="866" spans="1:17" x14ac:dyDescent="0.3">
      <c r="A866" s="6" t="s">
        <v>2964</v>
      </c>
      <c r="B866" s="5" t="s">
        <v>2090</v>
      </c>
      <c r="C866" s="4" t="s">
        <v>952</v>
      </c>
      <c r="D866" s="4" t="s">
        <v>1950</v>
      </c>
      <c r="N866" s="5">
        <v>1.25</v>
      </c>
      <c r="Q866" s="5" t="str">
        <f>"6281026121403"</f>
        <v>6281026121403</v>
      </c>
    </row>
    <row r="867" spans="1:17" x14ac:dyDescent="0.3">
      <c r="A867" s="6" t="s">
        <v>2965</v>
      </c>
      <c r="B867" s="5" t="s">
        <v>2090</v>
      </c>
      <c r="C867" s="4" t="s">
        <v>953</v>
      </c>
      <c r="D867" s="4" t="s">
        <v>1951</v>
      </c>
      <c r="N867" s="5">
        <v>3</v>
      </c>
      <c r="Q867" s="5" t="str">
        <f>"6281022115734"</f>
        <v>6281022115734</v>
      </c>
    </row>
    <row r="868" spans="1:17" x14ac:dyDescent="0.3">
      <c r="A868" s="6" t="s">
        <v>2966</v>
      </c>
      <c r="B868" s="5" t="s">
        <v>2090</v>
      </c>
      <c r="C868" s="4" t="s">
        <v>954</v>
      </c>
      <c r="D868" s="4" t="s">
        <v>1952</v>
      </c>
      <c r="N868" s="5">
        <v>1.5</v>
      </c>
      <c r="Q868" s="5" t="str">
        <f>"6281020307339"</f>
        <v>6281020307339</v>
      </c>
    </row>
    <row r="869" spans="1:17" x14ac:dyDescent="0.3">
      <c r="A869" s="6" t="s">
        <v>2967</v>
      </c>
      <c r="B869" s="5" t="s">
        <v>2090</v>
      </c>
      <c r="C869" s="4" t="s">
        <v>955</v>
      </c>
      <c r="D869" s="4" t="s">
        <v>1953</v>
      </c>
      <c r="N869" s="5">
        <v>5.5</v>
      </c>
      <c r="Q869" s="5" t="str">
        <f>"6281020172388"</f>
        <v>6281020172388</v>
      </c>
    </row>
    <row r="870" spans="1:17" x14ac:dyDescent="0.3">
      <c r="A870" s="6" t="s">
        <v>2968</v>
      </c>
      <c r="B870" s="5" t="s">
        <v>2090</v>
      </c>
      <c r="C870" s="4" t="s">
        <v>956</v>
      </c>
      <c r="D870" s="4" t="s">
        <v>1954</v>
      </c>
      <c r="N870" s="5">
        <v>20.25</v>
      </c>
      <c r="Q870" s="5" t="str">
        <f>"8001860183584"</f>
        <v>8001860183584</v>
      </c>
    </row>
    <row r="871" spans="1:17" x14ac:dyDescent="0.3">
      <c r="A871" s="6" t="s">
        <v>2969</v>
      </c>
      <c r="B871" s="5" t="s">
        <v>2090</v>
      </c>
      <c r="C871" s="4" t="s">
        <v>957</v>
      </c>
      <c r="D871" s="4" t="s">
        <v>1955</v>
      </c>
      <c r="N871" s="5">
        <v>36</v>
      </c>
      <c r="Q871" s="5" t="str">
        <f>"6281026121199"</f>
        <v>6281026121199</v>
      </c>
    </row>
    <row r="872" spans="1:17" x14ac:dyDescent="0.3">
      <c r="A872" s="6" t="s">
        <v>2970</v>
      </c>
      <c r="B872" s="5" t="s">
        <v>2090</v>
      </c>
      <c r="C872" s="4" t="s">
        <v>958</v>
      </c>
      <c r="D872" s="4" t="s">
        <v>1956</v>
      </c>
      <c r="N872" s="5">
        <v>1.5</v>
      </c>
      <c r="Q872" s="5" t="str">
        <f>"6281022183399"</f>
        <v>6281022183399</v>
      </c>
    </row>
    <row r="873" spans="1:17" x14ac:dyDescent="0.3">
      <c r="A873" s="6" t="s">
        <v>2971</v>
      </c>
      <c r="B873" s="5" t="s">
        <v>2090</v>
      </c>
      <c r="C873" s="4" t="s">
        <v>959</v>
      </c>
      <c r="D873" s="4" t="s">
        <v>1957</v>
      </c>
      <c r="N873" s="5">
        <v>30.25</v>
      </c>
      <c r="Q873" s="5" t="str">
        <f>"6281020307346"</f>
        <v>6281020307346</v>
      </c>
    </row>
    <row r="874" spans="1:17" x14ac:dyDescent="0.3">
      <c r="A874" s="6" t="s">
        <v>2972</v>
      </c>
      <c r="B874" s="5" t="s">
        <v>2090</v>
      </c>
      <c r="C874" s="4" t="s">
        <v>960</v>
      </c>
      <c r="D874" s="4" t="s">
        <v>1958</v>
      </c>
      <c r="N874" s="5">
        <v>30.25</v>
      </c>
      <c r="Q874" s="5" t="str">
        <f>"6281057006410"</f>
        <v>6281057006410</v>
      </c>
    </row>
    <row r="875" spans="1:17" x14ac:dyDescent="0.3">
      <c r="A875" s="6" t="s">
        <v>2973</v>
      </c>
      <c r="B875" s="5" t="s">
        <v>2090</v>
      </c>
      <c r="C875" s="4" t="s">
        <v>961</v>
      </c>
      <c r="D875" s="4" t="s">
        <v>1959</v>
      </c>
      <c r="N875" s="5">
        <v>26.95</v>
      </c>
      <c r="Q875" s="5" t="str">
        <f>"6281100500155"</f>
        <v>6281100500155</v>
      </c>
    </row>
    <row r="876" spans="1:17" x14ac:dyDescent="0.3">
      <c r="A876" s="6" t="s">
        <v>2974</v>
      </c>
      <c r="B876" s="5" t="s">
        <v>2090</v>
      </c>
      <c r="C876" s="4" t="s">
        <v>962</v>
      </c>
      <c r="D876" s="4" t="s">
        <v>1960</v>
      </c>
      <c r="N876" s="5">
        <v>7.25</v>
      </c>
      <c r="Q876" s="5" t="str">
        <f>"6281100502357"</f>
        <v>6281100502357</v>
      </c>
    </row>
    <row r="877" spans="1:17" x14ac:dyDescent="0.3">
      <c r="A877" s="6" t="s">
        <v>2975</v>
      </c>
      <c r="B877" s="5" t="s">
        <v>2090</v>
      </c>
      <c r="C877" s="4" t="s">
        <v>963</v>
      </c>
      <c r="D877" s="4" t="s">
        <v>1961</v>
      </c>
      <c r="N877" s="5">
        <v>1.95</v>
      </c>
      <c r="Q877" s="5" t="str">
        <f>"6281020308039"</f>
        <v>6281020308039</v>
      </c>
    </row>
    <row r="878" spans="1:17" x14ac:dyDescent="0.3">
      <c r="A878" s="6" t="s">
        <v>2976</v>
      </c>
      <c r="B878" s="5" t="s">
        <v>2090</v>
      </c>
      <c r="C878" s="4" t="s">
        <v>964</v>
      </c>
      <c r="D878" s="4" t="s">
        <v>1962</v>
      </c>
      <c r="N878" s="5">
        <v>12</v>
      </c>
      <c r="Q878" s="5" t="str">
        <f>"6281100500858"</f>
        <v>6281100500858</v>
      </c>
    </row>
    <row r="879" spans="1:17" x14ac:dyDescent="0.3">
      <c r="A879" s="6" t="s">
        <v>2977</v>
      </c>
      <c r="B879" s="5" t="s">
        <v>2090</v>
      </c>
      <c r="C879" s="4" t="s">
        <v>965</v>
      </c>
      <c r="D879" s="4" t="s">
        <v>1963</v>
      </c>
      <c r="N879" s="5">
        <v>33</v>
      </c>
      <c r="Q879" s="5" t="str">
        <f>"6281022167580"</f>
        <v>6281022167580</v>
      </c>
    </row>
    <row r="880" spans="1:17" x14ac:dyDescent="0.3">
      <c r="A880" s="6" t="s">
        <v>2978</v>
      </c>
      <c r="B880" s="5" t="s">
        <v>2090</v>
      </c>
      <c r="C880" s="4" t="s">
        <v>966</v>
      </c>
      <c r="D880" s="4" t="s">
        <v>1964</v>
      </c>
      <c r="N880" s="5">
        <v>9.25</v>
      </c>
      <c r="Q880" s="5" t="str">
        <f>"6281022167146"</f>
        <v>6281022167146</v>
      </c>
    </row>
    <row r="881" spans="1:17" x14ac:dyDescent="0.3">
      <c r="A881" s="6" t="s">
        <v>2979</v>
      </c>
      <c r="B881" s="5" t="s">
        <v>2090</v>
      </c>
      <c r="C881" s="4" t="s">
        <v>967</v>
      </c>
      <c r="D881" s="4" t="s">
        <v>1965</v>
      </c>
      <c r="N881" s="5">
        <v>13.25</v>
      </c>
      <c r="Q881" s="5" t="str">
        <f>"6281100500230"</f>
        <v>6281100500230</v>
      </c>
    </row>
    <row r="882" spans="1:17" x14ac:dyDescent="0.3">
      <c r="A882" s="6" t="s">
        <v>2980</v>
      </c>
      <c r="B882" s="5" t="s">
        <v>2090</v>
      </c>
      <c r="C882" s="4" t="s">
        <v>968</v>
      </c>
      <c r="D882" s="4" t="s">
        <v>1966</v>
      </c>
      <c r="N882" s="5">
        <v>36</v>
      </c>
      <c r="Q882" s="5" t="str">
        <f>"6281026121106"</f>
        <v>6281026121106</v>
      </c>
    </row>
    <row r="883" spans="1:17" x14ac:dyDescent="0.3">
      <c r="A883" s="6" t="s">
        <v>2981</v>
      </c>
      <c r="B883" s="5" t="s">
        <v>2090</v>
      </c>
      <c r="C883" s="4" t="s">
        <v>969</v>
      </c>
      <c r="D883" s="4" t="s">
        <v>1967</v>
      </c>
      <c r="N883" s="5">
        <v>1.25</v>
      </c>
      <c r="Q883" s="5" t="str">
        <f>"6281057015856"</f>
        <v>6281057015856</v>
      </c>
    </row>
    <row r="884" spans="1:17" x14ac:dyDescent="0.3">
      <c r="A884" s="6" t="s">
        <v>2982</v>
      </c>
      <c r="B884" s="5" t="s">
        <v>2090</v>
      </c>
      <c r="C884" s="4" t="s">
        <v>970</v>
      </c>
      <c r="D884" s="4" t="s">
        <v>1968</v>
      </c>
      <c r="N884" s="5">
        <v>38</v>
      </c>
      <c r="Q884" s="5" t="str">
        <f>"3073781157048"</f>
        <v>3073781157048</v>
      </c>
    </row>
    <row r="885" spans="1:17" x14ac:dyDescent="0.3">
      <c r="A885" s="6" t="s">
        <v>2983</v>
      </c>
      <c r="B885" s="5" t="s">
        <v>2090</v>
      </c>
      <c r="C885" s="4" t="s">
        <v>971</v>
      </c>
      <c r="D885" s="4" t="s">
        <v>1969</v>
      </c>
      <c r="N885" s="5">
        <v>3</v>
      </c>
      <c r="Q885" s="5" t="str">
        <f>"6281057016198"</f>
        <v>6281057016198</v>
      </c>
    </row>
    <row r="886" spans="1:17" x14ac:dyDescent="0.3">
      <c r="A886" s="6" t="s">
        <v>2984</v>
      </c>
      <c r="B886" s="5" t="s">
        <v>2090</v>
      </c>
      <c r="C886" s="4" t="s">
        <v>972</v>
      </c>
      <c r="D886" s="4" t="s">
        <v>1970</v>
      </c>
      <c r="N886" s="5">
        <v>41.25</v>
      </c>
      <c r="Q886" s="5" t="str">
        <f>"3073781159790"</f>
        <v>3073781159790</v>
      </c>
    </row>
    <row r="887" spans="1:17" x14ac:dyDescent="0.3">
      <c r="A887" s="6" t="s">
        <v>2985</v>
      </c>
      <c r="B887" s="5" t="s">
        <v>2090</v>
      </c>
      <c r="C887" s="4" t="s">
        <v>973</v>
      </c>
      <c r="D887" s="4" t="s">
        <v>1971</v>
      </c>
      <c r="N887" s="5">
        <v>5.95</v>
      </c>
      <c r="Q887" s="5" t="str">
        <f>"6281057050017"</f>
        <v>6281057050017</v>
      </c>
    </row>
    <row r="888" spans="1:17" x14ac:dyDescent="0.3">
      <c r="A888" s="6" t="s">
        <v>2986</v>
      </c>
      <c r="B888" s="5" t="s">
        <v>2090</v>
      </c>
      <c r="C888" s="4" t="s">
        <v>974</v>
      </c>
      <c r="D888" s="4" t="s">
        <v>1972</v>
      </c>
      <c r="N888" s="5">
        <v>19.5</v>
      </c>
      <c r="Q888" s="5" t="str">
        <f>"5202390017063"</f>
        <v>5202390017063</v>
      </c>
    </row>
    <row r="889" spans="1:17" x14ac:dyDescent="0.3">
      <c r="A889" s="6" t="s">
        <v>2987</v>
      </c>
      <c r="B889" s="5" t="s">
        <v>2090</v>
      </c>
      <c r="C889" s="4" t="s">
        <v>975</v>
      </c>
      <c r="D889" s="4" t="s">
        <v>1973</v>
      </c>
      <c r="N889" s="5">
        <v>3.45</v>
      </c>
      <c r="Q889" s="5" t="str">
        <f>"6285835000799"</f>
        <v>6285835000799</v>
      </c>
    </row>
    <row r="890" spans="1:17" x14ac:dyDescent="0.3">
      <c r="A890" s="6" t="s">
        <v>2988</v>
      </c>
      <c r="B890" s="5" t="s">
        <v>2090</v>
      </c>
      <c r="C890" s="4" t="s">
        <v>976</v>
      </c>
      <c r="D890" s="4" t="s">
        <v>1974</v>
      </c>
      <c r="N890" s="5">
        <v>2</v>
      </c>
      <c r="Q890" s="5" t="str">
        <f>"6281026121007"</f>
        <v>6281026121007</v>
      </c>
    </row>
    <row r="891" spans="1:17" x14ac:dyDescent="0.3">
      <c r="A891" s="6" t="s">
        <v>2989</v>
      </c>
      <c r="B891" s="5" t="s">
        <v>2090</v>
      </c>
      <c r="C891" s="4" t="s">
        <v>977</v>
      </c>
      <c r="D891" s="4" t="s">
        <v>1975</v>
      </c>
      <c r="N891" s="5">
        <v>1.25</v>
      </c>
      <c r="Q891" s="5" t="str">
        <f>"6281026121441"</f>
        <v>6281026121441</v>
      </c>
    </row>
    <row r="892" spans="1:17" x14ac:dyDescent="0.3">
      <c r="A892" s="6" t="s">
        <v>2990</v>
      </c>
      <c r="B892" s="5" t="s">
        <v>2090</v>
      </c>
      <c r="C892" s="4" t="s">
        <v>978</v>
      </c>
      <c r="D892" s="4" t="s">
        <v>1976</v>
      </c>
      <c r="N892" s="5">
        <v>3.45</v>
      </c>
      <c r="Q892" s="5" t="str">
        <f>"6285835000768"</f>
        <v>6285835000768</v>
      </c>
    </row>
    <row r="893" spans="1:17" x14ac:dyDescent="0.3">
      <c r="A893" s="6" t="s">
        <v>2991</v>
      </c>
      <c r="B893" s="5" t="s">
        <v>2090</v>
      </c>
      <c r="C893" s="4" t="s">
        <v>530</v>
      </c>
      <c r="D893" s="4" t="s">
        <v>1977</v>
      </c>
      <c r="N893" s="5">
        <v>3.95</v>
      </c>
      <c r="Q893" s="5" t="str">
        <f>"6281057004874"</f>
        <v>6281057004874</v>
      </c>
    </row>
    <row r="894" spans="1:17" x14ac:dyDescent="0.3">
      <c r="A894" s="6" t="s">
        <v>2992</v>
      </c>
      <c r="B894" s="5" t="s">
        <v>2090</v>
      </c>
      <c r="C894" s="4" t="s">
        <v>979</v>
      </c>
      <c r="D894" s="4" t="s">
        <v>1529</v>
      </c>
      <c r="N894" s="5">
        <v>20.95</v>
      </c>
      <c r="Q894" s="5" t="str">
        <f>"7340001804218"</f>
        <v>7340001804218</v>
      </c>
    </row>
    <row r="895" spans="1:17" x14ac:dyDescent="0.3">
      <c r="A895" s="6" t="s">
        <v>2993</v>
      </c>
      <c r="B895" s="5" t="s">
        <v>2090</v>
      </c>
      <c r="C895" s="4" t="s">
        <v>980</v>
      </c>
      <c r="D895" s="4" t="s">
        <v>1978</v>
      </c>
      <c r="N895" s="5">
        <v>22.5</v>
      </c>
      <c r="Q895" s="5" t="str">
        <f>"3073780985604"</f>
        <v>3073780985604</v>
      </c>
    </row>
    <row r="896" spans="1:17" x14ac:dyDescent="0.3">
      <c r="A896" s="6" t="s">
        <v>2994</v>
      </c>
      <c r="B896" s="5" t="s">
        <v>2090</v>
      </c>
      <c r="C896" s="4" t="s">
        <v>981</v>
      </c>
      <c r="D896" s="4" t="s">
        <v>1979</v>
      </c>
      <c r="N896" s="5">
        <v>27.95</v>
      </c>
      <c r="Q896" s="5" t="str">
        <f>"8695543003407"</f>
        <v>8695543003407</v>
      </c>
    </row>
    <row r="897" spans="1:17" x14ac:dyDescent="0.3">
      <c r="A897" s="6" t="s">
        <v>2995</v>
      </c>
      <c r="B897" s="5" t="s">
        <v>2090</v>
      </c>
      <c r="C897" s="4" t="s">
        <v>982</v>
      </c>
      <c r="D897" s="4" t="s">
        <v>1980</v>
      </c>
      <c r="N897" s="5">
        <v>3.5</v>
      </c>
      <c r="Q897" s="5" t="str">
        <f>"6281057013487"</f>
        <v>6281057013487</v>
      </c>
    </row>
    <row r="898" spans="1:17" x14ac:dyDescent="0.3">
      <c r="A898" s="6" t="s">
        <v>2996</v>
      </c>
      <c r="B898" s="5" t="s">
        <v>2090</v>
      </c>
      <c r="C898" s="4" t="s">
        <v>983</v>
      </c>
      <c r="D898" s="4" t="s">
        <v>1981</v>
      </c>
      <c r="N898" s="5">
        <v>5.5</v>
      </c>
      <c r="Q898" s="5" t="str">
        <f>"6281020172395"</f>
        <v>6281020172395</v>
      </c>
    </row>
    <row r="899" spans="1:17" x14ac:dyDescent="0.3">
      <c r="A899" s="6" t="s">
        <v>2997</v>
      </c>
      <c r="B899" s="5" t="s">
        <v>2090</v>
      </c>
      <c r="C899" s="4" t="s">
        <v>984</v>
      </c>
      <c r="D899" s="4" t="s">
        <v>1982</v>
      </c>
      <c r="N899" s="5">
        <v>19.25</v>
      </c>
      <c r="Q899" s="5" t="str">
        <f>"6281033305087"</f>
        <v>6281033305087</v>
      </c>
    </row>
    <row r="900" spans="1:17" x14ac:dyDescent="0.3">
      <c r="A900" s="6" t="s">
        <v>2998</v>
      </c>
      <c r="B900" s="5" t="s">
        <v>2090</v>
      </c>
      <c r="C900" s="4" t="s">
        <v>985</v>
      </c>
      <c r="D900" s="4" t="s">
        <v>1983</v>
      </c>
      <c r="N900" s="5">
        <v>36</v>
      </c>
      <c r="Q900" s="5" t="str">
        <f>"6281026121045"</f>
        <v>6281026121045</v>
      </c>
    </row>
    <row r="901" spans="1:17" x14ac:dyDescent="0.3">
      <c r="A901" s="6" t="s">
        <v>2999</v>
      </c>
      <c r="B901" s="5" t="s">
        <v>2090</v>
      </c>
      <c r="C901" s="4" t="s">
        <v>986</v>
      </c>
      <c r="D901" s="4" t="s">
        <v>1984</v>
      </c>
      <c r="N901" s="5">
        <v>2</v>
      </c>
      <c r="Q901" s="5" t="str">
        <f>"6281026121038"</f>
        <v>6281026121038</v>
      </c>
    </row>
    <row r="902" spans="1:17" x14ac:dyDescent="0.3">
      <c r="A902" s="6" t="s">
        <v>3000</v>
      </c>
      <c r="B902" s="5" t="s">
        <v>2090</v>
      </c>
      <c r="C902" s="4" t="s">
        <v>987</v>
      </c>
      <c r="D902" s="4" t="s">
        <v>1985</v>
      </c>
      <c r="N902" s="5">
        <v>9.5</v>
      </c>
      <c r="Q902" s="5" t="str">
        <f>"6281057050253"</f>
        <v>6281057050253</v>
      </c>
    </row>
    <row r="903" spans="1:17" x14ac:dyDescent="0.3">
      <c r="A903" s="6" t="s">
        <v>3001</v>
      </c>
      <c r="B903" s="5" t="s">
        <v>2090</v>
      </c>
      <c r="C903" s="4" t="s">
        <v>988</v>
      </c>
      <c r="D903" s="4" t="s">
        <v>1986</v>
      </c>
      <c r="N903" s="5">
        <v>28.75</v>
      </c>
      <c r="Q903" s="5" t="str">
        <f>"6291003157134"</f>
        <v>6291003157134</v>
      </c>
    </row>
    <row r="904" spans="1:17" x14ac:dyDescent="0.3">
      <c r="A904" s="6" t="s">
        <v>3002</v>
      </c>
      <c r="B904" s="5" t="s">
        <v>2090</v>
      </c>
      <c r="C904" s="4" t="s">
        <v>989</v>
      </c>
      <c r="D904" s="4" t="s">
        <v>1987</v>
      </c>
      <c r="N904" s="5">
        <v>2</v>
      </c>
      <c r="Q904" s="5" t="str">
        <f>"6281022183337"</f>
        <v>6281022183337</v>
      </c>
    </row>
    <row r="905" spans="1:17" x14ac:dyDescent="0.3">
      <c r="A905" s="6" t="s">
        <v>3003</v>
      </c>
      <c r="B905" s="5" t="s">
        <v>2090</v>
      </c>
      <c r="C905" s="4" t="s">
        <v>990</v>
      </c>
      <c r="D905" s="4" t="s">
        <v>1988</v>
      </c>
      <c r="N905" s="5">
        <v>2</v>
      </c>
      <c r="Q905" s="5" t="str">
        <f>"6281026121182"</f>
        <v>6281026121182</v>
      </c>
    </row>
    <row r="906" spans="1:17" x14ac:dyDescent="0.3">
      <c r="A906" s="6" t="s">
        <v>3004</v>
      </c>
      <c r="B906" s="5" t="s">
        <v>2090</v>
      </c>
      <c r="C906" s="4" t="s">
        <v>991</v>
      </c>
      <c r="D906" s="4" t="s">
        <v>1989</v>
      </c>
      <c r="N906" s="5">
        <v>2</v>
      </c>
      <c r="Q906" s="5" t="str">
        <f>"6281057007592"</f>
        <v>6281057007592</v>
      </c>
    </row>
    <row r="907" spans="1:17" x14ac:dyDescent="0.3">
      <c r="A907" s="6" t="s">
        <v>3005</v>
      </c>
      <c r="B907" s="5" t="s">
        <v>2090</v>
      </c>
      <c r="C907" s="4" t="s">
        <v>992</v>
      </c>
      <c r="D907" s="4" t="s">
        <v>1990</v>
      </c>
      <c r="N907" s="5">
        <v>2</v>
      </c>
      <c r="Q907" s="5" t="str">
        <f>"6281018117889"</f>
        <v>6281018117889</v>
      </c>
    </row>
    <row r="908" spans="1:17" x14ac:dyDescent="0.3">
      <c r="A908" s="6" t="s">
        <v>3006</v>
      </c>
      <c r="B908" s="5" t="s">
        <v>2090</v>
      </c>
      <c r="C908" s="4" t="s">
        <v>993</v>
      </c>
      <c r="D908" s="4" t="s">
        <v>1991</v>
      </c>
      <c r="N908" s="5">
        <v>2.5</v>
      </c>
      <c r="Q908" s="5" t="str">
        <f>"6281057013470"</f>
        <v>6281057013470</v>
      </c>
    </row>
    <row r="909" spans="1:17" x14ac:dyDescent="0.3">
      <c r="A909" s="6" t="s">
        <v>3007</v>
      </c>
      <c r="B909" s="5" t="s">
        <v>2090</v>
      </c>
      <c r="C909" s="4" t="s">
        <v>994</v>
      </c>
      <c r="D909" s="4" t="s">
        <v>1992</v>
      </c>
      <c r="N909" s="5">
        <v>2</v>
      </c>
      <c r="Q909" s="5" t="str">
        <f>"6281022183368"</f>
        <v>6281022183368</v>
      </c>
    </row>
    <row r="910" spans="1:17" x14ac:dyDescent="0.3">
      <c r="A910" s="6" t="s">
        <v>3008</v>
      </c>
      <c r="B910" s="5" t="s">
        <v>2090</v>
      </c>
      <c r="C910" s="4" t="s">
        <v>995</v>
      </c>
      <c r="D910" s="4" t="s">
        <v>1993</v>
      </c>
      <c r="N910" s="5">
        <v>39</v>
      </c>
      <c r="Q910" s="5" t="str">
        <f>"6281039173536"</f>
        <v>6281039173536</v>
      </c>
    </row>
    <row r="911" spans="1:17" x14ac:dyDescent="0.3">
      <c r="A911" s="6" t="s">
        <v>3009</v>
      </c>
      <c r="B911" s="5" t="s">
        <v>2090</v>
      </c>
      <c r="C911" s="4" t="s">
        <v>996</v>
      </c>
      <c r="D911" s="4" t="s">
        <v>1994</v>
      </c>
      <c r="N911" s="5">
        <v>49.95</v>
      </c>
      <c r="Q911" s="5" t="str">
        <f>"2144805000006"</f>
        <v>2144805000006</v>
      </c>
    </row>
    <row r="912" spans="1:17" x14ac:dyDescent="0.3">
      <c r="A912" s="6" t="s">
        <v>3010</v>
      </c>
      <c r="B912" s="5" t="s">
        <v>2090</v>
      </c>
      <c r="C912" s="4" t="s">
        <v>997</v>
      </c>
      <c r="D912" s="4" t="s">
        <v>1995</v>
      </c>
      <c r="N912" s="5">
        <v>4</v>
      </c>
      <c r="Q912" s="5" t="str">
        <f>"87295603"</f>
        <v>87295603</v>
      </c>
    </row>
    <row r="913" spans="1:17" x14ac:dyDescent="0.3">
      <c r="A913" s="6" t="s">
        <v>3011</v>
      </c>
      <c r="B913" s="5" t="s">
        <v>2090</v>
      </c>
      <c r="C913" s="4" t="s">
        <v>998</v>
      </c>
      <c r="D913" s="4" t="s">
        <v>1996</v>
      </c>
      <c r="N913" s="5">
        <v>1.25</v>
      </c>
      <c r="Q913" s="5" t="str">
        <f>"6281018316299"</f>
        <v>6281018316299</v>
      </c>
    </row>
    <row r="914" spans="1:17" x14ac:dyDescent="0.3">
      <c r="A914" s="6" t="s">
        <v>3012</v>
      </c>
      <c r="B914" s="5" t="s">
        <v>2090</v>
      </c>
      <c r="C914" s="4" t="s">
        <v>999</v>
      </c>
      <c r="D914" s="4" t="s">
        <v>1997</v>
      </c>
      <c r="N914" s="5">
        <v>15.95</v>
      </c>
      <c r="Q914" s="5" t="str">
        <f>"3073780574242"</f>
        <v>3073780574242</v>
      </c>
    </row>
    <row r="915" spans="1:17" x14ac:dyDescent="0.3">
      <c r="A915" s="6" t="s">
        <v>3013</v>
      </c>
      <c r="B915" s="5" t="s">
        <v>2090</v>
      </c>
      <c r="C915" s="4" t="s">
        <v>1000</v>
      </c>
      <c r="D915" s="4" t="s">
        <v>1998</v>
      </c>
      <c r="N915" s="5">
        <v>3</v>
      </c>
      <c r="Q915" s="5" t="str">
        <f>"6281018120346"</f>
        <v>6281018120346</v>
      </c>
    </row>
    <row r="916" spans="1:17" x14ac:dyDescent="0.3">
      <c r="A916" s="6" t="s">
        <v>3014</v>
      </c>
      <c r="B916" s="5" t="s">
        <v>2090</v>
      </c>
      <c r="C916" s="4" t="s">
        <v>1001</v>
      </c>
      <c r="D916" s="4" t="s">
        <v>1999</v>
      </c>
      <c r="N916" s="5">
        <v>13</v>
      </c>
      <c r="Q916" s="5" t="str">
        <f>"6281057050260"</f>
        <v>6281057050260</v>
      </c>
    </row>
    <row r="917" spans="1:17" x14ac:dyDescent="0.3">
      <c r="A917" s="6" t="s">
        <v>3015</v>
      </c>
      <c r="B917" s="5" t="s">
        <v>2090</v>
      </c>
      <c r="C917" s="4" t="s">
        <v>1002</v>
      </c>
      <c r="D917" s="4" t="s">
        <v>2000</v>
      </c>
      <c r="N917" s="5">
        <v>1.5</v>
      </c>
      <c r="Q917" s="5" t="str">
        <f>"6281020307131"</f>
        <v>6281020307131</v>
      </c>
    </row>
    <row r="918" spans="1:17" x14ac:dyDescent="0.3">
      <c r="A918" s="6" t="s">
        <v>3016</v>
      </c>
      <c r="B918" s="5" t="s">
        <v>2090</v>
      </c>
      <c r="C918" s="4" t="s">
        <v>1003</v>
      </c>
      <c r="D918" s="4" t="s">
        <v>2001</v>
      </c>
      <c r="N918" s="5">
        <v>2</v>
      </c>
      <c r="Q918" s="5" t="str">
        <f>"6281018141488"</f>
        <v>6281018141488</v>
      </c>
    </row>
    <row r="919" spans="1:17" x14ac:dyDescent="0.3">
      <c r="A919" s="6" t="s">
        <v>3017</v>
      </c>
      <c r="B919" s="5" t="s">
        <v>2090</v>
      </c>
      <c r="C919" s="4" t="s">
        <v>1004</v>
      </c>
      <c r="D919" s="4" t="s">
        <v>2002</v>
      </c>
      <c r="N919" s="5">
        <v>26.95</v>
      </c>
      <c r="Q919" s="5" t="str">
        <f>"5711953197666"</f>
        <v>5711953197666</v>
      </c>
    </row>
    <row r="920" spans="1:17" x14ac:dyDescent="0.3">
      <c r="A920" s="6" t="s">
        <v>3018</v>
      </c>
      <c r="B920" s="5" t="s">
        <v>2090</v>
      </c>
      <c r="C920" s="4" t="s">
        <v>1005</v>
      </c>
      <c r="D920" s="4" t="s">
        <v>2003</v>
      </c>
      <c r="N920" s="5">
        <v>17</v>
      </c>
      <c r="Q920" s="5" t="str">
        <f>"6281024014202"</f>
        <v>6281024014202</v>
      </c>
    </row>
    <row r="921" spans="1:17" x14ac:dyDescent="0.3">
      <c r="A921" s="6" t="s">
        <v>3019</v>
      </c>
      <c r="B921" s="5" t="s">
        <v>2090</v>
      </c>
      <c r="C921" s="4" t="s">
        <v>1006</v>
      </c>
      <c r="D921" s="4" t="s">
        <v>2004</v>
      </c>
      <c r="N921" s="5">
        <v>44.5</v>
      </c>
      <c r="Q921" s="5" t="str">
        <f>"6281100500131"</f>
        <v>6281100500131</v>
      </c>
    </row>
    <row r="922" spans="1:17" x14ac:dyDescent="0.3">
      <c r="A922" s="6" t="s">
        <v>3020</v>
      </c>
      <c r="B922" s="5" t="s">
        <v>2090</v>
      </c>
      <c r="C922" s="4" t="s">
        <v>1007</v>
      </c>
      <c r="D922" s="4" t="s">
        <v>2005</v>
      </c>
      <c r="N922" s="5">
        <v>12.5</v>
      </c>
      <c r="Q922" s="5" t="str">
        <f>"6281024010204"</f>
        <v>6281024010204</v>
      </c>
    </row>
    <row r="923" spans="1:17" x14ac:dyDescent="0.3">
      <c r="A923" s="6" t="s">
        <v>3021</v>
      </c>
      <c r="B923" s="5" t="s">
        <v>2090</v>
      </c>
      <c r="C923" s="4" t="s">
        <v>1008</v>
      </c>
      <c r="D923" s="4" t="s">
        <v>2006</v>
      </c>
      <c r="N923" s="5">
        <v>13</v>
      </c>
      <c r="Q923" s="5" t="str">
        <f>"6281100500179"</f>
        <v>6281100500179</v>
      </c>
    </row>
    <row r="924" spans="1:17" x14ac:dyDescent="0.3">
      <c r="A924" s="6" t="s">
        <v>3022</v>
      </c>
      <c r="B924" s="5" t="s">
        <v>2090</v>
      </c>
      <c r="C924" s="4" t="s">
        <v>1009</v>
      </c>
      <c r="D924" s="4" t="s">
        <v>2007</v>
      </c>
      <c r="N924" s="5">
        <v>43.5</v>
      </c>
      <c r="Q924" s="5" t="str">
        <f>"6281100503118"</f>
        <v>6281100503118</v>
      </c>
    </row>
    <row r="925" spans="1:17" x14ac:dyDescent="0.3">
      <c r="A925" s="6" t="s">
        <v>3023</v>
      </c>
      <c r="B925" s="5" t="s">
        <v>2090</v>
      </c>
      <c r="C925" s="4" t="s">
        <v>1010</v>
      </c>
      <c r="D925" s="4" t="s">
        <v>2008</v>
      </c>
      <c r="N925" s="5">
        <v>34</v>
      </c>
      <c r="Q925" s="5" t="str">
        <f>"6297000670454"</f>
        <v>6297000670454</v>
      </c>
    </row>
    <row r="926" spans="1:17" x14ac:dyDescent="0.3">
      <c r="A926" s="6" t="s">
        <v>3024</v>
      </c>
      <c r="B926" s="5" t="s">
        <v>2090</v>
      </c>
      <c r="C926" s="4" t="s">
        <v>1011</v>
      </c>
      <c r="D926" s="4" t="s">
        <v>2009</v>
      </c>
      <c r="N926" s="5">
        <v>14.95</v>
      </c>
      <c r="Q926" s="5" t="str">
        <f>"6287024860740"</f>
        <v>6287024860740</v>
      </c>
    </row>
    <row r="927" spans="1:17" x14ac:dyDescent="0.3">
      <c r="A927" s="6" t="s">
        <v>3025</v>
      </c>
      <c r="B927" s="5" t="s">
        <v>2090</v>
      </c>
      <c r="C927" s="4" t="s">
        <v>1012</v>
      </c>
      <c r="D927" s="4" t="s">
        <v>2010</v>
      </c>
      <c r="N927" s="5">
        <v>1.5</v>
      </c>
      <c r="Q927" s="5" t="str">
        <f>"6281022183405"</f>
        <v>6281022183405</v>
      </c>
    </row>
    <row r="928" spans="1:17" x14ac:dyDescent="0.3">
      <c r="A928" s="6" t="s">
        <v>3026</v>
      </c>
      <c r="B928" s="5" t="s">
        <v>2090</v>
      </c>
      <c r="C928" s="4" t="s">
        <v>1013</v>
      </c>
      <c r="D928" s="4" t="s">
        <v>2011</v>
      </c>
      <c r="N928" s="5">
        <v>2</v>
      </c>
      <c r="Q928" s="5" t="str">
        <f>"6281022183344"</f>
        <v>6281022183344</v>
      </c>
    </row>
    <row r="929" spans="1:17" x14ac:dyDescent="0.3">
      <c r="A929" s="6" t="s">
        <v>3027</v>
      </c>
      <c r="B929" s="5" t="s">
        <v>2090</v>
      </c>
      <c r="C929" s="4" t="s">
        <v>1014</v>
      </c>
      <c r="D929" s="4" t="s">
        <v>2012</v>
      </c>
      <c r="N929" s="5">
        <v>10.75</v>
      </c>
      <c r="Q929" s="5" t="str">
        <f>"6281007042413"</f>
        <v>6281007042413</v>
      </c>
    </row>
    <row r="930" spans="1:17" x14ac:dyDescent="0.3">
      <c r="A930" s="6" t="s">
        <v>3028</v>
      </c>
      <c r="B930" s="5" t="s">
        <v>2090</v>
      </c>
      <c r="C930" s="4" t="s">
        <v>1015</v>
      </c>
      <c r="D930" s="4" t="s">
        <v>2013</v>
      </c>
      <c r="N930" s="5">
        <v>2</v>
      </c>
      <c r="Q930" s="5" t="str">
        <f>"6281018117681"</f>
        <v>6281018117681</v>
      </c>
    </row>
    <row r="931" spans="1:17" x14ac:dyDescent="0.3">
      <c r="A931" s="6" t="s">
        <v>3029</v>
      </c>
      <c r="B931" s="5" t="s">
        <v>2090</v>
      </c>
      <c r="C931" s="4" t="s">
        <v>1016</v>
      </c>
      <c r="D931" s="4" t="s">
        <v>2014</v>
      </c>
      <c r="N931" s="5">
        <v>2</v>
      </c>
      <c r="Q931" s="5" t="str">
        <f>"6281026121090"</f>
        <v>6281026121090</v>
      </c>
    </row>
    <row r="932" spans="1:17" x14ac:dyDescent="0.3">
      <c r="A932" s="6" t="s">
        <v>3030</v>
      </c>
      <c r="B932" s="5" t="s">
        <v>2090</v>
      </c>
      <c r="C932" s="4" t="s">
        <v>1017</v>
      </c>
      <c r="D932" s="4" t="s">
        <v>2015</v>
      </c>
      <c r="N932" s="5">
        <v>5.5</v>
      </c>
      <c r="Q932" s="5" t="str">
        <f>"6281020173033"</f>
        <v>6281020173033</v>
      </c>
    </row>
    <row r="933" spans="1:17" x14ac:dyDescent="0.3">
      <c r="A933" s="6" t="s">
        <v>3031</v>
      </c>
      <c r="B933" s="5" t="s">
        <v>2090</v>
      </c>
      <c r="C933" s="4" t="s">
        <v>1018</v>
      </c>
      <c r="D933" s="4" t="s">
        <v>2016</v>
      </c>
      <c r="N933" s="5">
        <v>1.25</v>
      </c>
      <c r="Q933" s="5" t="str">
        <f>"6281026121601"</f>
        <v>6281026121601</v>
      </c>
    </row>
    <row r="934" spans="1:17" x14ac:dyDescent="0.3">
      <c r="A934" s="6" t="s">
        <v>3032</v>
      </c>
      <c r="B934" s="5" t="s">
        <v>2090</v>
      </c>
      <c r="C934" s="4" t="s">
        <v>1019</v>
      </c>
      <c r="D934" s="4" t="s">
        <v>2017</v>
      </c>
      <c r="N934" s="5">
        <v>2</v>
      </c>
      <c r="Q934" s="5" t="str">
        <f>"6281018119883"</f>
        <v>6281018119883</v>
      </c>
    </row>
    <row r="935" spans="1:17" x14ac:dyDescent="0.3">
      <c r="A935" s="6" t="s">
        <v>3033</v>
      </c>
      <c r="B935" s="5" t="s">
        <v>2090</v>
      </c>
      <c r="C935" s="4" t="s">
        <v>1020</v>
      </c>
      <c r="D935" s="4" t="s">
        <v>2018</v>
      </c>
      <c r="N935" s="5">
        <v>7.95</v>
      </c>
      <c r="Q935" s="5" t="str">
        <f>"4100290056209"</f>
        <v>4100290056209</v>
      </c>
    </row>
    <row r="936" spans="1:17" x14ac:dyDescent="0.3">
      <c r="A936" s="6" t="s">
        <v>3034</v>
      </c>
      <c r="B936" s="5" t="s">
        <v>2090</v>
      </c>
      <c r="C936" s="4" t="s">
        <v>1021</v>
      </c>
      <c r="D936" s="4" t="s">
        <v>2019</v>
      </c>
      <c r="N936" s="5">
        <v>2</v>
      </c>
      <c r="Q936" s="5" t="str">
        <f>"6281057007608"</f>
        <v>6281057007608</v>
      </c>
    </row>
    <row r="937" spans="1:17" x14ac:dyDescent="0.3">
      <c r="A937" s="6" t="s">
        <v>3035</v>
      </c>
      <c r="B937" s="5" t="s">
        <v>2090</v>
      </c>
      <c r="C937" s="4" t="s">
        <v>1022</v>
      </c>
      <c r="D937" s="4" t="s">
        <v>2020</v>
      </c>
      <c r="N937" s="5">
        <v>1.5</v>
      </c>
      <c r="Q937" s="5" t="str">
        <f>"6281021502108"</f>
        <v>6281021502108</v>
      </c>
    </row>
    <row r="938" spans="1:17" x14ac:dyDescent="0.3">
      <c r="A938" s="6" t="s">
        <v>3036</v>
      </c>
      <c r="B938" s="5" t="s">
        <v>2090</v>
      </c>
      <c r="C938" s="4" t="s">
        <v>1023</v>
      </c>
      <c r="D938" s="4" t="s">
        <v>2021</v>
      </c>
      <c r="N938" s="5">
        <v>2</v>
      </c>
      <c r="Q938" s="5" t="str">
        <f>"6281022183351"</f>
        <v>6281022183351</v>
      </c>
    </row>
    <row r="939" spans="1:17" x14ac:dyDescent="0.3">
      <c r="A939" s="6" t="s">
        <v>3037</v>
      </c>
      <c r="B939" s="5" t="s">
        <v>2090</v>
      </c>
      <c r="C939" s="4" t="s">
        <v>1024</v>
      </c>
      <c r="D939" s="4" t="s">
        <v>2022</v>
      </c>
      <c r="N939" s="5">
        <v>3</v>
      </c>
      <c r="Q939" s="5" t="str">
        <f>"6281055003114"</f>
        <v>6281055003114</v>
      </c>
    </row>
    <row r="940" spans="1:17" x14ac:dyDescent="0.3">
      <c r="A940" s="6" t="s">
        <v>3038</v>
      </c>
      <c r="B940" s="5" t="s">
        <v>2090</v>
      </c>
      <c r="C940" s="4" t="s">
        <v>1025</v>
      </c>
      <c r="D940" s="4" t="s">
        <v>2023</v>
      </c>
      <c r="N940" s="5">
        <v>2</v>
      </c>
      <c r="Q940" s="5" t="str">
        <f>"6281039174410"</f>
        <v>6281039174410</v>
      </c>
    </row>
    <row r="941" spans="1:17" x14ac:dyDescent="0.3">
      <c r="A941" s="6" t="s">
        <v>3039</v>
      </c>
      <c r="B941" s="5" t="s">
        <v>2090</v>
      </c>
      <c r="C941" s="4" t="s">
        <v>1026</v>
      </c>
      <c r="D941" s="4" t="s">
        <v>2024</v>
      </c>
      <c r="N941" s="5">
        <v>4</v>
      </c>
      <c r="Q941" s="5" t="str">
        <f>"6281022117387"</f>
        <v>6281022117387</v>
      </c>
    </row>
    <row r="942" spans="1:17" x14ac:dyDescent="0.3">
      <c r="A942" s="6" t="s">
        <v>3040</v>
      </c>
      <c r="B942" s="5" t="s">
        <v>2090</v>
      </c>
      <c r="C942" s="4" t="s">
        <v>1027</v>
      </c>
      <c r="D942" s="4" t="s">
        <v>2025</v>
      </c>
      <c r="N942" s="5">
        <v>32</v>
      </c>
      <c r="Q942" s="5" t="str">
        <f>"6297001083536"</f>
        <v>6297001083536</v>
      </c>
    </row>
    <row r="943" spans="1:17" x14ac:dyDescent="0.3">
      <c r="A943" s="6" t="s">
        <v>3041</v>
      </c>
      <c r="B943" s="5" t="s">
        <v>2090</v>
      </c>
      <c r="C943" s="4" t="s">
        <v>1028</v>
      </c>
      <c r="D943" s="4" t="s">
        <v>2026</v>
      </c>
      <c r="N943" s="5">
        <v>9.25</v>
      </c>
      <c r="Q943" s="5" t="str">
        <f>"6281007062275"</f>
        <v>6281007062275</v>
      </c>
    </row>
    <row r="944" spans="1:17" x14ac:dyDescent="0.3">
      <c r="A944" s="6" t="s">
        <v>3042</v>
      </c>
      <c r="B944" s="5" t="s">
        <v>2090</v>
      </c>
      <c r="C944" s="4" t="s">
        <v>1029</v>
      </c>
      <c r="D944" s="4" t="s">
        <v>2027</v>
      </c>
      <c r="N944" s="5">
        <v>13.5</v>
      </c>
      <c r="Q944" s="5" t="str">
        <f>"6281039121117"</f>
        <v>6281039121117</v>
      </c>
    </row>
    <row r="945" spans="1:17" x14ac:dyDescent="0.3">
      <c r="A945" s="6" t="s">
        <v>3043</v>
      </c>
      <c r="B945" s="5" t="s">
        <v>2090</v>
      </c>
      <c r="C945" s="4" t="s">
        <v>1030</v>
      </c>
      <c r="D945" s="4" t="s">
        <v>2028</v>
      </c>
      <c r="N945" s="5">
        <v>5.5</v>
      </c>
      <c r="Q945" s="5" t="str">
        <f>"6281057012855"</f>
        <v>6281057012855</v>
      </c>
    </row>
    <row r="946" spans="1:17" x14ac:dyDescent="0.3">
      <c r="A946" s="6" t="s">
        <v>3044</v>
      </c>
      <c r="B946" s="5" t="s">
        <v>2090</v>
      </c>
      <c r="C946" s="4" t="s">
        <v>1031</v>
      </c>
      <c r="D946" s="4" t="s">
        <v>2029</v>
      </c>
      <c r="N946" s="5">
        <v>2</v>
      </c>
      <c r="Q946" s="5" t="str">
        <f>"6281057010004"</f>
        <v>6281057010004</v>
      </c>
    </row>
    <row r="947" spans="1:17" x14ac:dyDescent="0.3">
      <c r="A947" s="6" t="s">
        <v>3045</v>
      </c>
      <c r="B947" s="5" t="s">
        <v>2090</v>
      </c>
      <c r="C947" s="4" t="s">
        <v>1032</v>
      </c>
      <c r="D947" s="4" t="s">
        <v>2030</v>
      </c>
      <c r="N947" s="5">
        <v>2.5</v>
      </c>
      <c r="Q947" s="5" t="str">
        <f>"6281022110371"</f>
        <v>6281022110371</v>
      </c>
    </row>
    <row r="948" spans="1:17" x14ac:dyDescent="0.3">
      <c r="A948" s="6" t="s">
        <v>3046</v>
      </c>
      <c r="B948" s="5" t="s">
        <v>2090</v>
      </c>
      <c r="C948" s="4" t="s">
        <v>1033</v>
      </c>
      <c r="D948" s="4" t="s">
        <v>2031</v>
      </c>
      <c r="N948" s="5">
        <v>2.5</v>
      </c>
      <c r="Q948" s="5" t="str">
        <f>"6281022120363"</f>
        <v>6281022120363</v>
      </c>
    </row>
    <row r="949" spans="1:17" x14ac:dyDescent="0.3">
      <c r="A949" s="6" t="s">
        <v>3047</v>
      </c>
      <c r="B949" s="5" t="s">
        <v>2090</v>
      </c>
      <c r="C949" s="4" t="s">
        <v>1034</v>
      </c>
      <c r="D949" s="4" t="s">
        <v>2032</v>
      </c>
      <c r="N949" s="5">
        <v>2</v>
      </c>
      <c r="Q949" s="5" t="str">
        <f>"6281007032568"</f>
        <v>6281007032568</v>
      </c>
    </row>
    <row r="950" spans="1:17" x14ac:dyDescent="0.3">
      <c r="A950" s="6" t="s">
        <v>3048</v>
      </c>
      <c r="B950" s="5" t="s">
        <v>2090</v>
      </c>
      <c r="C950" s="4" t="s">
        <v>1035</v>
      </c>
      <c r="D950" s="4" t="s">
        <v>2033</v>
      </c>
      <c r="N950" s="5">
        <v>14.95</v>
      </c>
      <c r="Q950" s="5" t="str">
        <f>"6281057002924"</f>
        <v>6281057002924</v>
      </c>
    </row>
    <row r="951" spans="1:17" x14ac:dyDescent="0.3">
      <c r="A951" s="6" t="s">
        <v>3049</v>
      </c>
      <c r="B951" s="5" t="s">
        <v>2090</v>
      </c>
      <c r="C951" s="4" t="s">
        <v>1036</v>
      </c>
      <c r="D951" s="4" t="s">
        <v>2034</v>
      </c>
      <c r="N951" s="5">
        <v>3.25</v>
      </c>
      <c r="Q951" s="5" t="str">
        <f>"6223000754597"</f>
        <v>6223000754597</v>
      </c>
    </row>
    <row r="952" spans="1:17" x14ac:dyDescent="0.3">
      <c r="A952" s="6" t="s">
        <v>3050</v>
      </c>
      <c r="B952" s="5" t="s">
        <v>2090</v>
      </c>
      <c r="C952" s="4" t="s">
        <v>1037</v>
      </c>
      <c r="D952" s="4" t="s">
        <v>2035</v>
      </c>
      <c r="N952" s="5">
        <v>12</v>
      </c>
      <c r="Q952" s="5" t="str">
        <f>"6281018292357"</f>
        <v>6281018292357</v>
      </c>
    </row>
    <row r="953" spans="1:17" x14ac:dyDescent="0.3">
      <c r="A953" s="6" t="s">
        <v>3051</v>
      </c>
      <c r="B953" s="5" t="s">
        <v>2090</v>
      </c>
      <c r="C953" s="4" t="s">
        <v>1038</v>
      </c>
      <c r="D953" s="4" t="s">
        <v>2036</v>
      </c>
      <c r="N953" s="5">
        <v>26.95</v>
      </c>
      <c r="Q953" s="5" t="str">
        <f>"5411188140887"</f>
        <v>5411188140887</v>
      </c>
    </row>
    <row r="954" spans="1:17" x14ac:dyDescent="0.3">
      <c r="A954" s="6" t="s">
        <v>3052</v>
      </c>
      <c r="B954" s="5" t="s">
        <v>2090</v>
      </c>
      <c r="C954" s="4" t="s">
        <v>1039</v>
      </c>
      <c r="D954" s="4" t="s">
        <v>2037</v>
      </c>
      <c r="N954" s="5">
        <v>1.25</v>
      </c>
      <c r="Q954" s="5" t="str">
        <f>"6281057007028"</f>
        <v>6281057007028</v>
      </c>
    </row>
    <row r="955" spans="1:17" x14ac:dyDescent="0.3">
      <c r="A955" s="6" t="s">
        <v>3053</v>
      </c>
      <c r="B955" s="5" t="s">
        <v>2090</v>
      </c>
      <c r="C955" s="4" t="s">
        <v>1040</v>
      </c>
      <c r="D955" s="4" t="s">
        <v>2038</v>
      </c>
      <c r="N955" s="5">
        <v>2</v>
      </c>
      <c r="Q955" s="5" t="str">
        <f>"6281007023535"</f>
        <v>6281007023535</v>
      </c>
    </row>
    <row r="956" spans="1:17" x14ac:dyDescent="0.3">
      <c r="A956" s="6" t="s">
        <v>3054</v>
      </c>
      <c r="B956" s="5" t="s">
        <v>2090</v>
      </c>
      <c r="C956" s="4" t="s">
        <v>1041</v>
      </c>
      <c r="D956" s="4" t="s">
        <v>2039</v>
      </c>
      <c r="N956" s="5">
        <v>4.25</v>
      </c>
      <c r="Q956" s="5" t="str">
        <f>"6281022124019"</f>
        <v>6281022124019</v>
      </c>
    </row>
    <row r="957" spans="1:17" x14ac:dyDescent="0.3">
      <c r="A957" s="6" t="s">
        <v>3055</v>
      </c>
      <c r="B957" s="5" t="s">
        <v>2090</v>
      </c>
      <c r="C957" s="4" t="s">
        <v>1042</v>
      </c>
      <c r="D957" s="4" t="s">
        <v>2040</v>
      </c>
      <c r="N957" s="5">
        <v>9.9499999999999993</v>
      </c>
      <c r="Q957" s="5" t="str">
        <f>"6297000670997"</f>
        <v>6297000670997</v>
      </c>
    </row>
    <row r="958" spans="1:17" x14ac:dyDescent="0.3">
      <c r="A958" s="6" t="s">
        <v>3056</v>
      </c>
      <c r="B958" s="5" t="s">
        <v>2090</v>
      </c>
      <c r="C958" s="4" t="s">
        <v>1043</v>
      </c>
      <c r="D958" s="4" t="s">
        <v>2041</v>
      </c>
      <c r="N958" s="5">
        <v>6.5</v>
      </c>
      <c r="Q958" s="5" t="str">
        <f>"6281022180510"</f>
        <v>6281022180510</v>
      </c>
    </row>
    <row r="959" spans="1:17" x14ac:dyDescent="0.3">
      <c r="A959" s="6" t="s">
        <v>3057</v>
      </c>
      <c r="B959" s="5" t="s">
        <v>2090</v>
      </c>
      <c r="C959" s="4" t="s">
        <v>1044</v>
      </c>
      <c r="D959" s="4" t="s">
        <v>2042</v>
      </c>
      <c r="N959" s="5">
        <v>3</v>
      </c>
      <c r="Q959" s="5" t="str">
        <f>"6281022112863"</f>
        <v>6281022112863</v>
      </c>
    </row>
    <row r="960" spans="1:17" x14ac:dyDescent="0.3">
      <c r="A960" s="6" t="s">
        <v>3058</v>
      </c>
      <c r="B960" s="5" t="s">
        <v>2090</v>
      </c>
      <c r="C960" s="4" t="s">
        <v>1045</v>
      </c>
      <c r="D960" s="4" t="s">
        <v>2043</v>
      </c>
      <c r="N960" s="5">
        <v>7.95</v>
      </c>
      <c r="Q960" s="5" t="str">
        <f>"6281057015979"</f>
        <v>6281057015979</v>
      </c>
    </row>
    <row r="961" spans="1:17" x14ac:dyDescent="0.3">
      <c r="A961" s="6" t="s">
        <v>3059</v>
      </c>
      <c r="B961" s="5" t="s">
        <v>2090</v>
      </c>
      <c r="C961" s="4" t="s">
        <v>1046</v>
      </c>
      <c r="D961" s="4" t="s">
        <v>2044</v>
      </c>
      <c r="N961" s="5">
        <v>11.5</v>
      </c>
      <c r="Q961" s="5" t="str">
        <f>"6223000752777"</f>
        <v>6223000752777</v>
      </c>
    </row>
    <row r="962" spans="1:17" x14ac:dyDescent="0.3">
      <c r="A962" s="6" t="s">
        <v>3060</v>
      </c>
      <c r="B962" s="5" t="s">
        <v>2090</v>
      </c>
      <c r="C962" s="4" t="s">
        <v>1047</v>
      </c>
      <c r="D962" s="4" t="s">
        <v>2045</v>
      </c>
      <c r="N962" s="5">
        <v>3.25</v>
      </c>
      <c r="Q962" s="5" t="str">
        <f>"6223000754610"</f>
        <v>6223000754610</v>
      </c>
    </row>
    <row r="963" spans="1:17" x14ac:dyDescent="0.3">
      <c r="A963" s="6" t="s">
        <v>3061</v>
      </c>
      <c r="B963" s="5" t="s">
        <v>2090</v>
      </c>
      <c r="C963" s="4" t="s">
        <v>1048</v>
      </c>
      <c r="D963" s="4" t="s">
        <v>2046</v>
      </c>
      <c r="N963" s="5">
        <v>13.25</v>
      </c>
      <c r="Q963" s="5" t="str">
        <f>"6281007071147"</f>
        <v>6281007071147</v>
      </c>
    </row>
    <row r="964" spans="1:17" x14ac:dyDescent="0.3">
      <c r="A964" s="6" t="s">
        <v>3062</v>
      </c>
      <c r="B964" s="5" t="s">
        <v>2090</v>
      </c>
      <c r="C964" s="4" t="s">
        <v>1049</v>
      </c>
      <c r="D964" s="4" t="s">
        <v>2047</v>
      </c>
      <c r="N964" s="5">
        <v>3.45</v>
      </c>
      <c r="Q964" s="5" t="str">
        <f>"6285835000737"</f>
        <v>6285835000737</v>
      </c>
    </row>
    <row r="965" spans="1:17" x14ac:dyDescent="0.3">
      <c r="A965" s="6" t="s">
        <v>3063</v>
      </c>
      <c r="B965" s="5" t="s">
        <v>2090</v>
      </c>
      <c r="C965" s="4" t="s">
        <v>1050</v>
      </c>
      <c r="D965" s="4" t="s">
        <v>2048</v>
      </c>
      <c r="N965" s="5">
        <v>1.5</v>
      </c>
      <c r="Q965" s="5" t="str">
        <f>"6281020321632"</f>
        <v>6281020321632</v>
      </c>
    </row>
    <row r="966" spans="1:17" x14ac:dyDescent="0.3">
      <c r="A966" s="6" t="s">
        <v>3064</v>
      </c>
      <c r="B966" s="5" t="s">
        <v>2090</v>
      </c>
      <c r="C966" s="4" t="s">
        <v>1051</v>
      </c>
      <c r="D966" s="4" t="s">
        <v>2049</v>
      </c>
      <c r="N966" s="5">
        <v>11.5</v>
      </c>
      <c r="Q966" s="5" t="str">
        <f>"6223000750797"</f>
        <v>6223000750797</v>
      </c>
    </row>
    <row r="967" spans="1:17" x14ac:dyDescent="0.3">
      <c r="A967" s="6" t="s">
        <v>3065</v>
      </c>
      <c r="B967" s="5" t="s">
        <v>2090</v>
      </c>
      <c r="C967" s="4" t="s">
        <v>1052</v>
      </c>
      <c r="D967" s="4" t="s">
        <v>2050</v>
      </c>
      <c r="N967" s="5">
        <v>2</v>
      </c>
      <c r="Q967" s="5" t="str">
        <f>"6281022120370"</f>
        <v>6281022120370</v>
      </c>
    </row>
    <row r="968" spans="1:17" x14ac:dyDescent="0.3">
      <c r="A968" s="6" t="s">
        <v>3066</v>
      </c>
      <c r="B968" s="5" t="s">
        <v>2090</v>
      </c>
      <c r="C968" s="4" t="s">
        <v>1053</v>
      </c>
      <c r="D968" s="4" t="s">
        <v>2051</v>
      </c>
      <c r="N968" s="5">
        <v>15.5</v>
      </c>
      <c r="Q968" s="5" t="str">
        <f>"6281007026871"</f>
        <v>6281007026871</v>
      </c>
    </row>
    <row r="969" spans="1:17" x14ac:dyDescent="0.3">
      <c r="A969" s="6" t="s">
        <v>3067</v>
      </c>
      <c r="B969" s="5" t="s">
        <v>2090</v>
      </c>
      <c r="C969" s="4" t="s">
        <v>1054</v>
      </c>
      <c r="D969" s="4" t="s">
        <v>2052</v>
      </c>
      <c r="N969" s="5">
        <v>19.95</v>
      </c>
      <c r="Q969" s="5" t="str">
        <f>"2144802000009"</f>
        <v>2144802000009</v>
      </c>
    </row>
    <row r="970" spans="1:17" x14ac:dyDescent="0.3">
      <c r="A970" s="6" t="s">
        <v>3068</v>
      </c>
      <c r="B970" s="5" t="s">
        <v>2090</v>
      </c>
      <c r="C970" s="4" t="s">
        <v>1055</v>
      </c>
      <c r="D970" s="4" t="s">
        <v>2053</v>
      </c>
      <c r="N970" s="5">
        <v>19.5</v>
      </c>
      <c r="Q970" s="5" t="str">
        <f>"5290036002689"</f>
        <v>5290036002689</v>
      </c>
    </row>
    <row r="971" spans="1:17" x14ac:dyDescent="0.3">
      <c r="A971" s="6" t="s">
        <v>3069</v>
      </c>
      <c r="B971" s="5" t="s">
        <v>2090</v>
      </c>
      <c r="C971" s="4" t="s">
        <v>1056</v>
      </c>
      <c r="D971" s="4" t="s">
        <v>2054</v>
      </c>
      <c r="N971" s="5">
        <v>1.25</v>
      </c>
      <c r="Q971" s="5" t="str">
        <f>"6281039105513"</f>
        <v>6281039105513</v>
      </c>
    </row>
    <row r="972" spans="1:17" x14ac:dyDescent="0.3">
      <c r="A972" s="6" t="s">
        <v>3070</v>
      </c>
      <c r="B972" s="5" t="s">
        <v>2090</v>
      </c>
      <c r="C972" s="4" t="s">
        <v>1057</v>
      </c>
      <c r="D972" s="4" t="s">
        <v>2055</v>
      </c>
      <c r="N972" s="5">
        <v>3</v>
      </c>
      <c r="Q972" s="5" t="str">
        <f>"6281022112856"</f>
        <v>6281022112856</v>
      </c>
    </row>
    <row r="973" spans="1:17" x14ac:dyDescent="0.3">
      <c r="A973" s="6" t="s">
        <v>3071</v>
      </c>
      <c r="B973" s="5" t="s">
        <v>2090</v>
      </c>
      <c r="C973" s="4" t="s">
        <v>1058</v>
      </c>
      <c r="D973" s="4" t="s">
        <v>2056</v>
      </c>
      <c r="N973" s="5">
        <v>7</v>
      </c>
      <c r="Q973" s="5" t="str">
        <f>"6287005740078"</f>
        <v>6287005740078</v>
      </c>
    </row>
    <row r="974" spans="1:17" x14ac:dyDescent="0.3">
      <c r="A974" s="6" t="s">
        <v>3072</v>
      </c>
      <c r="B974" s="5" t="s">
        <v>2090</v>
      </c>
      <c r="C974" s="4" t="s">
        <v>1059</v>
      </c>
      <c r="D974" s="4" t="s">
        <v>2057</v>
      </c>
      <c r="N974" s="5">
        <v>32</v>
      </c>
      <c r="Q974" s="5" t="str">
        <f>"6297001083567"</f>
        <v>6297001083567</v>
      </c>
    </row>
    <row r="975" spans="1:17" x14ac:dyDescent="0.3">
      <c r="A975" s="6" t="s">
        <v>3073</v>
      </c>
      <c r="B975" s="5" t="s">
        <v>2090</v>
      </c>
      <c r="C975" s="4" t="s">
        <v>1060</v>
      </c>
      <c r="D975" s="4" t="s">
        <v>2058</v>
      </c>
      <c r="N975" s="5">
        <v>21.5</v>
      </c>
      <c r="Q975" s="5" t="str">
        <f>"5202390020407"</f>
        <v>5202390020407</v>
      </c>
    </row>
    <row r="976" spans="1:17" x14ac:dyDescent="0.3">
      <c r="A976" s="6" t="s">
        <v>3074</v>
      </c>
      <c r="B976" s="5" t="s">
        <v>2090</v>
      </c>
      <c r="C976" s="4" t="s">
        <v>1061</v>
      </c>
      <c r="D976" s="4" t="s">
        <v>2059</v>
      </c>
      <c r="N976" s="5">
        <v>34</v>
      </c>
      <c r="Q976" s="5" t="str">
        <f>"6297000670447"</f>
        <v>6297000670447</v>
      </c>
    </row>
    <row r="977" spans="1:17" x14ac:dyDescent="0.3">
      <c r="A977" s="6" t="s">
        <v>3075</v>
      </c>
      <c r="B977" s="5" t="s">
        <v>2090</v>
      </c>
      <c r="C977" s="4" t="s">
        <v>1062</v>
      </c>
      <c r="D977" s="4" t="s">
        <v>2060</v>
      </c>
      <c r="N977" s="5">
        <v>18.5</v>
      </c>
      <c r="Q977" s="5" t="str">
        <f>"6297000778686"</f>
        <v>6297000778686</v>
      </c>
    </row>
    <row r="978" spans="1:17" x14ac:dyDescent="0.3">
      <c r="A978" s="6" t="s">
        <v>3076</v>
      </c>
      <c r="B978" s="5" t="s">
        <v>2090</v>
      </c>
      <c r="C978" s="4" t="s">
        <v>1063</v>
      </c>
      <c r="D978" s="4" t="s">
        <v>2061</v>
      </c>
      <c r="N978" s="5">
        <v>2</v>
      </c>
      <c r="Q978" s="5" t="str">
        <f>"6281057005420"</f>
        <v>6281057005420</v>
      </c>
    </row>
    <row r="979" spans="1:17" x14ac:dyDescent="0.3">
      <c r="A979" s="6" t="s">
        <v>3077</v>
      </c>
      <c r="B979" s="5" t="s">
        <v>2090</v>
      </c>
      <c r="C979" s="4" t="s">
        <v>1064</v>
      </c>
      <c r="D979" s="4" t="s">
        <v>2062</v>
      </c>
      <c r="N979" s="5">
        <v>37.950000000000003</v>
      </c>
      <c r="Q979" s="5" t="str">
        <f>"5016860007108"</f>
        <v>5016860007108</v>
      </c>
    </row>
    <row r="980" spans="1:17" x14ac:dyDescent="0.3">
      <c r="A980" s="6" t="s">
        <v>3078</v>
      </c>
      <c r="B980" s="5" t="s">
        <v>2090</v>
      </c>
      <c r="C980" s="4" t="s">
        <v>1065</v>
      </c>
      <c r="D980" s="4" t="s">
        <v>2063</v>
      </c>
      <c r="N980" s="5">
        <v>32</v>
      </c>
      <c r="Q980" s="5" t="str">
        <f>"3451790196577"</f>
        <v>3451790196577</v>
      </c>
    </row>
    <row r="981" spans="1:17" x14ac:dyDescent="0.3">
      <c r="A981" s="6" t="s">
        <v>3079</v>
      </c>
      <c r="B981" s="5" t="s">
        <v>2090</v>
      </c>
      <c r="C981" s="4" t="s">
        <v>1066</v>
      </c>
      <c r="D981" s="4" t="s">
        <v>2064</v>
      </c>
      <c r="N981" s="5">
        <v>49.95</v>
      </c>
      <c r="Q981" s="5" t="str">
        <f>"2144806000005"</f>
        <v>2144806000005</v>
      </c>
    </row>
    <row r="982" spans="1:17" x14ac:dyDescent="0.3">
      <c r="A982" s="6" t="s">
        <v>3080</v>
      </c>
      <c r="B982" s="5" t="s">
        <v>2090</v>
      </c>
      <c r="C982" s="4" t="s">
        <v>1067</v>
      </c>
      <c r="D982" s="4" t="s">
        <v>2065</v>
      </c>
      <c r="N982" s="5">
        <v>27.75</v>
      </c>
      <c r="Q982" s="5" t="str">
        <f>"6281022160598"</f>
        <v>6281022160598</v>
      </c>
    </row>
    <row r="983" spans="1:17" x14ac:dyDescent="0.3">
      <c r="A983" s="6" t="s">
        <v>3081</v>
      </c>
      <c r="B983" s="5" t="s">
        <v>2090</v>
      </c>
      <c r="C983" s="4" t="s">
        <v>1068</v>
      </c>
      <c r="D983" s="4" t="s">
        <v>2066</v>
      </c>
      <c r="N983" s="5">
        <v>7.5</v>
      </c>
      <c r="Q983" s="5" t="str">
        <f>"6281022134063"</f>
        <v>6281022134063</v>
      </c>
    </row>
    <row r="984" spans="1:17" x14ac:dyDescent="0.3">
      <c r="A984" s="6" t="s">
        <v>3082</v>
      </c>
      <c r="B984" s="5" t="s">
        <v>2090</v>
      </c>
      <c r="C984" s="4" t="s">
        <v>1069</v>
      </c>
      <c r="D984" s="4" t="s">
        <v>2067</v>
      </c>
      <c r="N984" s="5">
        <v>21.5</v>
      </c>
      <c r="Q984" s="5" t="str">
        <f>"5202390015434"</f>
        <v>5202390015434</v>
      </c>
    </row>
    <row r="985" spans="1:17" x14ac:dyDescent="0.3">
      <c r="A985" s="6" t="s">
        <v>3083</v>
      </c>
      <c r="B985" s="5" t="s">
        <v>2090</v>
      </c>
      <c r="C985" s="4" t="s">
        <v>1070</v>
      </c>
      <c r="D985" s="4" t="s">
        <v>2068</v>
      </c>
      <c r="N985" s="5">
        <v>4</v>
      </c>
      <c r="Q985" s="5" t="str">
        <f>"87295627"</f>
        <v>87295627</v>
      </c>
    </row>
    <row r="986" spans="1:17" x14ac:dyDescent="0.3">
      <c r="A986" s="6" t="s">
        <v>3084</v>
      </c>
      <c r="B986" s="5" t="s">
        <v>2090</v>
      </c>
      <c r="C986" s="4" t="s">
        <v>1071</v>
      </c>
      <c r="D986" s="4" t="s">
        <v>2069</v>
      </c>
      <c r="N986" s="5">
        <v>2</v>
      </c>
      <c r="Q986" s="5" t="str">
        <f>"6281018141280"</f>
        <v>6281018141280</v>
      </c>
    </row>
    <row r="987" spans="1:17" x14ac:dyDescent="0.3">
      <c r="A987" s="6" t="s">
        <v>3085</v>
      </c>
      <c r="B987" s="5" t="s">
        <v>2090</v>
      </c>
      <c r="C987" s="4" t="s">
        <v>1072</v>
      </c>
      <c r="D987" s="4" t="s">
        <v>2070</v>
      </c>
      <c r="N987" s="5">
        <v>19.5</v>
      </c>
      <c r="Q987" s="5" t="str">
        <f>"5202390016981"</f>
        <v>5202390016981</v>
      </c>
    </row>
    <row r="988" spans="1:17" x14ac:dyDescent="0.3">
      <c r="A988" s="6" t="s">
        <v>3086</v>
      </c>
      <c r="B988" s="5" t="s">
        <v>2090</v>
      </c>
      <c r="C988" s="4" t="s">
        <v>1073</v>
      </c>
      <c r="D988" s="4" t="s">
        <v>2071</v>
      </c>
      <c r="N988" s="5">
        <v>1.25</v>
      </c>
      <c r="Q988" s="5" t="str">
        <f>"6281018310297"</f>
        <v>6281018310297</v>
      </c>
    </row>
    <row r="989" spans="1:17" x14ac:dyDescent="0.3">
      <c r="A989" s="6" t="s">
        <v>3087</v>
      </c>
      <c r="B989" s="5" t="s">
        <v>2090</v>
      </c>
      <c r="C989" s="4" t="s">
        <v>1074</v>
      </c>
      <c r="D989" s="4" t="s">
        <v>2072</v>
      </c>
      <c r="N989" s="5">
        <v>3</v>
      </c>
      <c r="Q989" s="5" t="str">
        <f>"6281057016204"</f>
        <v>6281057016204</v>
      </c>
    </row>
    <row r="990" spans="1:17" x14ac:dyDescent="0.3">
      <c r="A990" s="6" t="s">
        <v>3088</v>
      </c>
      <c r="B990" s="5" t="s">
        <v>2090</v>
      </c>
      <c r="C990" s="4" t="s">
        <v>1075</v>
      </c>
      <c r="D990" s="4" t="s">
        <v>2073</v>
      </c>
      <c r="N990" s="5">
        <v>3</v>
      </c>
      <c r="Q990" s="5" t="str">
        <f>"6281055003121"</f>
        <v>6281055003121</v>
      </c>
    </row>
    <row r="991" spans="1:17" x14ac:dyDescent="0.3">
      <c r="A991" s="6" t="s">
        <v>3089</v>
      </c>
      <c r="B991" s="5" t="s">
        <v>2090</v>
      </c>
      <c r="C991" s="4" t="s">
        <v>1076</v>
      </c>
      <c r="D991" s="4" t="s">
        <v>2074</v>
      </c>
      <c r="N991" s="5">
        <v>1.5</v>
      </c>
      <c r="Q991" s="5" t="str">
        <f>"6281100174141"</f>
        <v>6281100174141</v>
      </c>
    </row>
    <row r="992" spans="1:17" x14ac:dyDescent="0.3">
      <c r="A992" s="6" t="s">
        <v>3090</v>
      </c>
      <c r="B992" s="5" t="s">
        <v>2090</v>
      </c>
      <c r="C992" s="4" t="s">
        <v>1077</v>
      </c>
      <c r="D992" s="4" t="s">
        <v>2075</v>
      </c>
      <c r="N992" s="5">
        <v>1.5</v>
      </c>
      <c r="Q992" s="5" t="str">
        <f>"6281100174066"</f>
        <v>6281100174066</v>
      </c>
    </row>
    <row r="993" spans="1:17" x14ac:dyDescent="0.3">
      <c r="A993" s="6" t="s">
        <v>2131</v>
      </c>
      <c r="B993" s="5" t="s">
        <v>2090</v>
      </c>
      <c r="C993" s="4" t="s">
        <v>1078</v>
      </c>
      <c r="D993" s="4" t="s">
        <v>2076</v>
      </c>
      <c r="N993" s="5">
        <v>194.5</v>
      </c>
      <c r="Q993" s="5" t="str">
        <f>"6281020174917"</f>
        <v>6281020174917</v>
      </c>
    </row>
    <row r="994" spans="1:17" x14ac:dyDescent="0.3">
      <c r="A994" s="6" t="s">
        <v>2132</v>
      </c>
      <c r="B994" s="5" t="s">
        <v>2090</v>
      </c>
      <c r="C994" s="4" t="s">
        <v>1079</v>
      </c>
      <c r="D994" s="4" t="s">
        <v>2077</v>
      </c>
      <c r="N994" s="5">
        <v>25.95</v>
      </c>
      <c r="Q994" s="5" t="str">
        <f>"850057068092"</f>
        <v>850057068092</v>
      </c>
    </row>
    <row r="995" spans="1:17" x14ac:dyDescent="0.3">
      <c r="A995" s="6" t="s">
        <v>2133</v>
      </c>
      <c r="B995" s="5" t="s">
        <v>2090</v>
      </c>
      <c r="C995" s="4" t="s">
        <v>1080</v>
      </c>
      <c r="D995" s="4" t="s">
        <v>2078</v>
      </c>
      <c r="N995" s="5">
        <v>39.950000000000003</v>
      </c>
      <c r="Q995" s="5" t="str">
        <f>"6281024010655"</f>
        <v>6281024010655</v>
      </c>
    </row>
    <row r="996" spans="1:17" x14ac:dyDescent="0.3">
      <c r="A996" s="6" t="s">
        <v>2134</v>
      </c>
      <c r="B996" s="5" t="s">
        <v>2090</v>
      </c>
      <c r="C996" s="4" t="s">
        <v>1081</v>
      </c>
      <c r="D996" s="4" t="s">
        <v>2079</v>
      </c>
      <c r="N996" s="5">
        <v>5.95</v>
      </c>
      <c r="Q996" s="5" t="str">
        <f>"6281022134025"</f>
        <v>6281022134025</v>
      </c>
    </row>
    <row r="997" spans="1:17" x14ac:dyDescent="0.3">
      <c r="A997" s="6" t="s">
        <v>2135</v>
      </c>
      <c r="B997" s="5" t="s">
        <v>2090</v>
      </c>
      <c r="C997" s="4" t="s">
        <v>1082</v>
      </c>
      <c r="D997" s="4" t="s">
        <v>2080</v>
      </c>
      <c r="N997" s="5">
        <v>61.95</v>
      </c>
      <c r="Q997" s="5" t="str">
        <f>"3245390137838"</f>
        <v>3245390137838</v>
      </c>
    </row>
    <row r="998" spans="1:17" x14ac:dyDescent="0.3">
      <c r="A998" s="6" t="s">
        <v>2136</v>
      </c>
      <c r="B998" s="5" t="s">
        <v>2090</v>
      </c>
      <c r="C998" s="4" t="s">
        <v>1083</v>
      </c>
      <c r="D998" s="4" t="s">
        <v>2081</v>
      </c>
      <c r="N998" s="5">
        <v>194.5</v>
      </c>
      <c r="Q998" s="5" t="str">
        <f>"6281020174894"</f>
        <v>6281020174894</v>
      </c>
    </row>
    <row r="999" spans="1:17" x14ac:dyDescent="0.3">
      <c r="A999" s="6" t="s">
        <v>2137</v>
      </c>
      <c r="B999" s="5" t="s">
        <v>2090</v>
      </c>
      <c r="C999" s="4" t="s">
        <v>1084</v>
      </c>
      <c r="D999" s="4" t="s">
        <v>2082</v>
      </c>
      <c r="N999" s="5">
        <v>44.25</v>
      </c>
      <c r="Q999" s="5" t="str">
        <f>"8901262010160"</f>
        <v>8901262010160</v>
      </c>
    </row>
    <row r="1000" spans="1:17" x14ac:dyDescent="0.3">
      <c r="A1000" s="6" t="s">
        <v>2138</v>
      </c>
      <c r="B1000" s="5" t="s">
        <v>2090</v>
      </c>
      <c r="C1000" s="4" t="s">
        <v>1085</v>
      </c>
      <c r="D1000" s="4" t="s">
        <v>2083</v>
      </c>
      <c r="N1000" s="5">
        <v>25.95</v>
      </c>
      <c r="Q1000" s="5" t="str">
        <f>"850057068115"</f>
        <v>850057068115</v>
      </c>
    </row>
    <row r="1001" spans="1:17" x14ac:dyDescent="0.3">
      <c r="A1001" s="6" t="s">
        <v>2139</v>
      </c>
      <c r="B1001" s="5" t="s">
        <v>2090</v>
      </c>
      <c r="C1001" s="4" t="s">
        <v>1086</v>
      </c>
      <c r="D1001" s="4" t="s">
        <v>2084</v>
      </c>
      <c r="N1001" s="5">
        <v>2</v>
      </c>
      <c r="Q1001" s="5" t="str">
        <f>"6281018119784"</f>
        <v>6281018119784</v>
      </c>
    </row>
    <row r="1002" spans="1:17" x14ac:dyDescent="0.3">
      <c r="A1002" s="6" t="s">
        <v>2140</v>
      </c>
      <c r="B1002" s="5" t="s">
        <v>2090</v>
      </c>
      <c r="C1002" s="4" t="s">
        <v>1087</v>
      </c>
      <c r="D1002" s="4" t="s">
        <v>2085</v>
      </c>
      <c r="N1002" s="5">
        <v>25.95</v>
      </c>
      <c r="Q1002" s="5" t="str">
        <f>"850057068153"</f>
        <v>850057068153</v>
      </c>
    </row>
  </sheetData>
  <dataValidations count="6">
    <dataValidation type="list" allowBlank="1" showDropDown="1" showInputMessage="1" showErrorMessage="1" error="This cell value cannot be change" prompt="This cell value cannot be change" sqref="A2:T2" xr:uid="{00000000-0002-0000-0100-000000000000}">
      <formula1>A2:A2</formula1>
    </dataValidation>
    <dataValidation type="textLength" operator="lessThan" showInputMessage="1" showErrorMessage="1" errorTitle="SKU" error="Can not be blank and Max Character Limit is 25" promptTitle="Enter SKU" prompt="Can not be blank and Max Character Limit is 25" sqref="A3:A1004" xr:uid="{00000000-0002-0000-0100-000014000000}">
      <formula1>26</formula1>
    </dataValidation>
    <dataValidation type="textLength" operator="lessThan" showInputMessage="1" showErrorMessage="1" errorTitle="Name" error="Can not be blank and Max Character Limit is 100" promptTitle="Enter NAME" prompt="Can not be blank and Max Character Limit is 100" sqref="C3:C1004" xr:uid="{00000000-0002-0000-0100-000016000000}">
      <formula1>101</formula1>
    </dataValidation>
    <dataValidation type="decimal" operator="greaterThan" allowBlank="1" showInputMessage="1" showErrorMessage="1" error="Only numeric values allowed" promptTitle="Enter buying price if required" prompt="Only numeric values allowed" sqref="I3:I1004" xr:uid="{00000000-0002-0000-0100-00001B000000}">
      <formula1>0</formula1>
    </dataValidation>
    <dataValidation type="decimal" operator="greaterThan" allowBlank="1" showInputMessage="1" showErrorMessage="1" error="Only numeric values allowd" promptTitle="Enter selling price if required" prompt="Only numeric values allowd" sqref="J3:J1004" xr:uid="{00000000-0002-0000-0100-00001C000000}">
      <formula1>0</formula1>
    </dataValidation>
    <dataValidation type="textLength" operator="lessThan" allowBlank="1" showInputMessage="1" showErrorMessage="1" errorTitle="English Name" error="Max Character Limit is 250" promptTitle="Enter ENGLISH NAME" prompt="Max Character Limit is 250" sqref="D4:D1004" xr:uid="{00000000-0002-0000-0100-000017000000}">
      <formula1>251</formula1>
    </dataValidation>
  </dataValidations>
  <pageMargins left="3" right="3" top="1.2" bottom="1.2" header="0.7" footer="0.7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error="Only values from dropdown list" promptTitle="Select TYPE" prompt="Only values from dropdown list" xr:uid="{00000000-0002-0000-0100-000015000000}">
          <x14:formula1>
            <xm:f>do_not_edit!$A$51:$A$53</xm:f>
          </x14:formula1>
          <xm:sqref>B3:B1004</xm:sqref>
        </x14:dataValidation>
        <x14:dataValidation type="list" allowBlank="1" showInputMessage="1" showErrorMessage="1" error="Only values from dropdown list" promptTitle="Select Unit Type" prompt="Only values from dropdown list" xr:uid="{00000000-0002-0000-0100-000019000000}">
          <x14:formula1>
            <xm:f>do_not_edit!$A$1:$A$7</xm:f>
          </x14:formula1>
          <xm:sqref>G3:G1004</xm:sqref>
        </x14:dataValidation>
        <x14:dataValidation type="list" allowBlank="1" showInputMessage="1" showErrorMessage="1" error="Only values from dropdown list" promptTitle="Select Category" prompt="Only values from dropdown list" xr:uid="{00000000-0002-0000-0100-00001A000000}">
          <x14:formula1>
            <xm:f>do_not_edit!$A$8:$A$20</xm:f>
          </x14:formula1>
          <xm:sqref>H3:H1004</xm:sqref>
        </x14:dataValidation>
        <x14:dataValidation type="list" allowBlank="1" showInputMessage="1" showErrorMessage="1" error="Only values from dropdown list" promptTitle="Select Expense Account" prompt="Only values from dropdown list" xr:uid="{00000000-0002-0000-0100-00001D000000}">
          <x14:formula1>
            <xm:f>do_not_edit!$A$21:$A$43</xm:f>
          </x14:formula1>
          <xm:sqref>K3:K1004</xm:sqref>
        </x14:dataValidation>
        <x14:dataValidation type="list" allowBlank="1" showInputMessage="1" showErrorMessage="1" error="Only values from dropdown list" promptTitle="Select Sales Account" prompt="Only values from dropdown list" xr:uid="{00000000-0002-0000-0100-00001E000000}">
          <x14:formula1>
            <xm:f>do_not_edit!$A$44:$A$45</xm:f>
          </x14:formula1>
          <xm:sqref>L3:L1004</xm:sqref>
        </x14:dataValidation>
        <x14:dataValidation type="list" allowBlank="1" showInputMessage="1" showErrorMessage="1" errorTitle="Name" error="Only values from dropdown list" promptTitle="Select Tax" prompt="Only values from dropdown list" xr:uid="{00000000-0002-0000-0100-00001F000000}">
          <x14:formula1>
            <xm:f>do_not_edit!$A$46:$A$48</xm:f>
          </x14:formula1>
          <xm:sqref>M3:M1004</xm:sqref>
        </x14:dataValidation>
        <x14:dataValidation type="list" allowBlank="1" showInputMessage="1" showErrorMessage="1" errorTitle="Name" error="Only values from dropdown list" promptTitle="Select Special Tax Reason" prompt="Only values from dropdown list" xr:uid="{00000000-0002-0000-0100-000020000000}">
          <x14:formula1>
            <xm:f>do_not_edit!$A$54:$A$67</xm:f>
          </x14:formula1>
          <xm:sqref>P3:P1004</xm:sqref>
        </x14:dataValidation>
        <x14:dataValidation type="list" allowBlank="1" showInputMessage="1" showErrorMessage="1" error="Only values from dropdown list" promptTitle="Is It POS Product?" prompt="Only values from dropdown list" xr:uid="{00000000-0002-0000-0100-000021000000}">
          <x14:formula1>
            <xm:f>do_not_edit!$A$49:$A$50</xm:f>
          </x14:formula1>
          <xm:sqref>R3:R1004</xm:sqref>
        </x14:dataValidation>
        <x14:dataValidation type="list" allowBlank="1" showInputMessage="1" showErrorMessage="1" error="Only values from dropdown list" promptTitle="Select Option" prompt="Only values from dropdown list" xr:uid="{00000000-0002-0000-0100-000022000000}">
          <x14:formula1>
            <xm:f>do_not_edit!$A$49:$A$50</xm:f>
          </x14:formula1>
          <xm:sqref>N3:O1004</xm:sqref>
        </x14:dataValidation>
        <x14:dataValidation type="list" allowBlank="1" showInputMessage="1" showErrorMessage="1" error="Only values from dropdown list" promptTitle="Select Inventory Option" prompt="Only values from dropdown list" xr:uid="{00000000-0002-0000-0100-000018000000}">
          <x14:formula1>
            <xm:f>do_not_edit!$A$49:$A$50</xm:f>
          </x14:formula1>
          <xm:sqref>F12:F1004 F3:F10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Product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جنان ستار</cp:lastModifiedBy>
  <cp:revision>0</cp:revision>
  <dcterms:created xsi:type="dcterms:W3CDTF">2025-10-14T08:55:51Z</dcterms:created>
  <dcterms:modified xsi:type="dcterms:W3CDTF">2025-10-16T00:25:40Z</dcterms:modified>
</cp:coreProperties>
</file>